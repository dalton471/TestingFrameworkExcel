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9072"/>
  </bookViews>
  <sheets>
    <sheet name="Aging Recon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1" l="1"/>
  <c r="F29" i="1" s="1"/>
  <c r="G28" i="1"/>
  <c r="G27" i="1"/>
  <c r="F27" i="1" s="1"/>
  <c r="G26" i="1"/>
  <c r="F26" i="1" s="1"/>
  <c r="G25" i="1"/>
  <c r="F25" i="1"/>
  <c r="G24" i="1"/>
  <c r="F24" i="1"/>
  <c r="G23" i="1"/>
  <c r="G22" i="1"/>
  <c r="F22" i="1" s="1"/>
  <c r="G21" i="1"/>
  <c r="F21" i="1"/>
  <c r="G20" i="1"/>
  <c r="F20" i="1" s="1"/>
  <c r="G19" i="1"/>
  <c r="F19" i="1" s="1"/>
  <c r="G18" i="1"/>
  <c r="F18" i="1" s="1"/>
  <c r="G17" i="1"/>
  <c r="G16" i="1"/>
  <c r="F16" i="1"/>
  <c r="G15" i="1"/>
  <c r="F15" i="1"/>
  <c r="G14" i="1"/>
  <c r="F14" i="1"/>
  <c r="G13" i="1"/>
  <c r="F13" i="1" s="1"/>
  <c r="G12" i="1"/>
  <c r="F12" i="1"/>
  <c r="G11" i="1"/>
  <c r="F11" i="1"/>
  <c r="G10" i="1"/>
  <c r="G9" i="1"/>
  <c r="F9" i="1" s="1"/>
  <c r="G8" i="1"/>
  <c r="F8" i="1"/>
  <c r="G7" i="1"/>
  <c r="F7" i="1" s="1"/>
  <c r="G6" i="1"/>
  <c r="F6" i="1"/>
  <c r="G5" i="1"/>
  <c r="F5" i="1" s="1"/>
  <c r="G4" i="1"/>
  <c r="F4" i="1" s="1"/>
  <c r="G3" i="1"/>
  <c r="F3" i="1" s="1"/>
  <c r="G2" i="1"/>
  <c r="F2" i="1" s="1"/>
</calcChain>
</file>

<file path=xl/sharedStrings.xml><?xml version="1.0" encoding="utf-8"?>
<sst xmlns="http://schemas.openxmlformats.org/spreadsheetml/2006/main" count="119" uniqueCount="57">
  <si>
    <t>Groups</t>
  </si>
  <si>
    <t>PracticeCode</t>
  </si>
  <si>
    <t>DBPracticeName</t>
  </si>
  <si>
    <t>Platform</t>
  </si>
  <si>
    <t>As of Date</t>
  </si>
  <si>
    <t>Source Values</t>
  </si>
  <si>
    <t>Aging Balance</t>
  </si>
  <si>
    <t>Group 1</t>
  </si>
  <si>
    <t>PC_001</t>
  </si>
  <si>
    <t>Practice A</t>
  </si>
  <si>
    <t>Platform_01</t>
  </si>
  <si>
    <t>PC_002</t>
  </si>
  <si>
    <t>Practice B</t>
  </si>
  <si>
    <t>PC_003</t>
  </si>
  <si>
    <t>Practice C</t>
  </si>
  <si>
    <t>PC_004</t>
  </si>
  <si>
    <t>Practice D</t>
  </si>
  <si>
    <t>PC_005</t>
  </si>
  <si>
    <t>Practice E</t>
  </si>
  <si>
    <t>Group 2</t>
  </si>
  <si>
    <t>PC_006</t>
  </si>
  <si>
    <t>Practice F</t>
  </si>
  <si>
    <t>Platform_02</t>
  </si>
  <si>
    <t>PC_007</t>
  </si>
  <si>
    <t>Practice G</t>
  </si>
  <si>
    <t>PC_008</t>
  </si>
  <si>
    <t>Practice H</t>
  </si>
  <si>
    <t>PC_009</t>
  </si>
  <si>
    <t>Practice I</t>
  </si>
  <si>
    <t>PC_010</t>
  </si>
  <si>
    <t>Practice J</t>
  </si>
  <si>
    <t>PC_011</t>
  </si>
  <si>
    <t>Practice K</t>
  </si>
  <si>
    <t>PC_012</t>
  </si>
  <si>
    <t>Practice L</t>
  </si>
  <si>
    <t>PC_013</t>
  </si>
  <si>
    <t>Practice M</t>
  </si>
  <si>
    <t>PC_014</t>
  </si>
  <si>
    <t>Practice N</t>
  </si>
  <si>
    <t>Group 3</t>
  </si>
  <si>
    <t>PC_015</t>
  </si>
  <si>
    <t>Practice O</t>
  </si>
  <si>
    <t>PC_016</t>
  </si>
  <si>
    <t>Practice P</t>
  </si>
  <si>
    <t>PC_017</t>
  </si>
  <si>
    <t>Practice Q</t>
  </si>
  <si>
    <t>PC_018</t>
  </si>
  <si>
    <t>Practice R</t>
  </si>
  <si>
    <t>Platform_03</t>
  </si>
  <si>
    <t>PC_019</t>
  </si>
  <si>
    <t>Practice S</t>
  </si>
  <si>
    <t>PC_020</t>
  </si>
  <si>
    <t>Practice T</t>
  </si>
  <si>
    <t>PC_021</t>
  </si>
  <si>
    <t>Practice U</t>
  </si>
  <si>
    <t>PC_022</t>
  </si>
  <si>
    <t>Practice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</si>
</sst>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C09]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sz val="11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B4C6E7"/>
      </bottom>
      <diagonal/>
    </border>
    <border>
      <left style="thin">
        <color rgb="FFD9E2F3"/>
      </left>
      <right/>
      <top style="thin">
        <color rgb="FFD9E2F3"/>
      </top>
      <bottom style="thin">
        <color rgb="FFB4C6E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14" fontId="2" fillId="0" borderId="5" xfId="0" applyNumberFormat="1" applyFont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164" fontId="2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nisLink%20Intern\KPI_Automation_Framework\KPI_Automation_Framework\input\KPI_Sample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Data Pipeline Status"/>
      <sheetName val="Data Currency"/>
      <sheetName val="Practice Detail"/>
      <sheetName val="Missing Practices Summary"/>
      <sheetName val="KPI"/>
      <sheetName val="FIN Recon"/>
      <sheetName val="Aging R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FiscalYear</v>
          </cell>
          <cell r="B1" t="str">
            <v>FiscalMonth</v>
          </cell>
          <cell r="G1" t="str">
            <v>PracticeCode</v>
          </cell>
          <cell r="AJ1" t="str">
            <v>GrossAR</v>
          </cell>
        </row>
        <row r="2">
          <cell r="A2">
            <v>2026</v>
          </cell>
          <cell r="B2">
            <v>5</v>
          </cell>
          <cell r="G2" t="str">
            <v>PC_001</v>
          </cell>
          <cell r="AJ2">
            <v>20.95</v>
          </cell>
        </row>
        <row r="3">
          <cell r="A3">
            <v>2026</v>
          </cell>
          <cell r="B3">
            <v>5</v>
          </cell>
          <cell r="G3" t="str">
            <v>PC_001</v>
          </cell>
          <cell r="AJ3">
            <v>201.56</v>
          </cell>
        </row>
        <row r="4">
          <cell r="A4">
            <v>2026</v>
          </cell>
          <cell r="B4">
            <v>5</v>
          </cell>
          <cell r="G4" t="str">
            <v>PC_002</v>
          </cell>
          <cell r="AJ4">
            <v>0</v>
          </cell>
        </row>
        <row r="5">
          <cell r="A5">
            <v>2026</v>
          </cell>
          <cell r="B5">
            <v>5</v>
          </cell>
          <cell r="G5" t="str">
            <v>PC_003</v>
          </cell>
          <cell r="AJ5">
            <v>87438.24</v>
          </cell>
        </row>
        <row r="6">
          <cell r="A6">
            <v>2026</v>
          </cell>
          <cell r="B6">
            <v>5</v>
          </cell>
          <cell r="G6" t="str">
            <v>PC_003</v>
          </cell>
          <cell r="AJ6">
            <v>4714.71</v>
          </cell>
        </row>
        <row r="7">
          <cell r="A7">
            <v>2026</v>
          </cell>
          <cell r="B7">
            <v>5</v>
          </cell>
          <cell r="G7" t="str">
            <v>PC_004</v>
          </cell>
          <cell r="AJ7">
            <v>150</v>
          </cell>
        </row>
        <row r="8">
          <cell r="A8">
            <v>2026</v>
          </cell>
          <cell r="B8">
            <v>5</v>
          </cell>
          <cell r="G8" t="str">
            <v>PC_004</v>
          </cell>
          <cell r="AJ8">
            <v>19254.439999999999</v>
          </cell>
        </row>
        <row r="9">
          <cell r="A9">
            <v>2026</v>
          </cell>
          <cell r="B9">
            <v>4</v>
          </cell>
          <cell r="G9" t="str">
            <v>PC_005</v>
          </cell>
          <cell r="AJ9">
            <v>2756461.22</v>
          </cell>
        </row>
        <row r="10">
          <cell r="A10">
            <v>2026</v>
          </cell>
          <cell r="B10">
            <v>5</v>
          </cell>
          <cell r="G10" t="str">
            <v>PC_006</v>
          </cell>
          <cell r="AJ10">
            <v>6181.05</v>
          </cell>
        </row>
        <row r="11">
          <cell r="A11">
            <v>2026</v>
          </cell>
          <cell r="B11">
            <v>5</v>
          </cell>
          <cell r="G11" t="str">
            <v>PC_006</v>
          </cell>
          <cell r="AJ11">
            <v>12662.24</v>
          </cell>
        </row>
        <row r="12">
          <cell r="A12">
            <v>2026</v>
          </cell>
          <cell r="B12">
            <v>5</v>
          </cell>
          <cell r="G12" t="str">
            <v>PC_006</v>
          </cell>
          <cell r="AJ12">
            <v>-277.14</v>
          </cell>
        </row>
        <row r="13">
          <cell r="A13">
            <v>2026</v>
          </cell>
          <cell r="B13">
            <v>5</v>
          </cell>
          <cell r="G13" t="str">
            <v>PC_007</v>
          </cell>
          <cell r="AJ13">
            <v>2536.66</v>
          </cell>
        </row>
        <row r="14">
          <cell r="A14">
            <v>2026</v>
          </cell>
          <cell r="B14">
            <v>5</v>
          </cell>
          <cell r="G14" t="str">
            <v>PC_008</v>
          </cell>
          <cell r="AJ14">
            <v>0</v>
          </cell>
        </row>
        <row r="15">
          <cell r="A15">
            <v>2026</v>
          </cell>
          <cell r="B15">
            <v>4</v>
          </cell>
          <cell r="G15" t="str">
            <v>PC_009</v>
          </cell>
          <cell r="AJ15">
            <v>163415.49</v>
          </cell>
        </row>
        <row r="16">
          <cell r="A16">
            <v>2026</v>
          </cell>
          <cell r="B16">
            <v>5</v>
          </cell>
          <cell r="G16" t="str">
            <v>PC_009</v>
          </cell>
        </row>
        <row r="17">
          <cell r="A17">
            <v>2026</v>
          </cell>
          <cell r="B17">
            <v>5</v>
          </cell>
          <cell r="G17" t="str">
            <v>PC_010</v>
          </cell>
          <cell r="AJ17">
            <v>640</v>
          </cell>
        </row>
        <row r="18">
          <cell r="A18">
            <v>2026</v>
          </cell>
          <cell r="B18">
            <v>5</v>
          </cell>
          <cell r="G18" t="str">
            <v>PC_011</v>
          </cell>
        </row>
        <row r="19">
          <cell r="A19">
            <v>2026</v>
          </cell>
          <cell r="B19">
            <v>4</v>
          </cell>
          <cell r="G19" t="str">
            <v>PC_011</v>
          </cell>
          <cell r="AJ19">
            <v>86569.61</v>
          </cell>
        </row>
        <row r="20">
          <cell r="A20">
            <v>2026</v>
          </cell>
          <cell r="B20">
            <v>5</v>
          </cell>
          <cell r="G20" t="str">
            <v>PC_012</v>
          </cell>
        </row>
        <row r="21">
          <cell r="A21">
            <v>2026</v>
          </cell>
          <cell r="B21">
            <v>4</v>
          </cell>
          <cell r="G21" t="str">
            <v>PC_012</v>
          </cell>
          <cell r="AJ21">
            <v>829912.63</v>
          </cell>
        </row>
        <row r="22">
          <cell r="A22">
            <v>2026</v>
          </cell>
          <cell r="B22">
            <v>4</v>
          </cell>
          <cell r="G22" t="str">
            <v>PC_013</v>
          </cell>
        </row>
        <row r="23">
          <cell r="A23">
            <v>2026</v>
          </cell>
          <cell r="B23">
            <v>5</v>
          </cell>
          <cell r="G23" t="str">
            <v>PC_013</v>
          </cell>
        </row>
        <row r="24">
          <cell r="A24">
            <v>2026</v>
          </cell>
          <cell r="B24">
            <v>4</v>
          </cell>
          <cell r="G24" t="str">
            <v>PC_014</v>
          </cell>
          <cell r="AJ24">
            <v>32615.09</v>
          </cell>
        </row>
        <row r="25">
          <cell r="A25">
            <v>2026</v>
          </cell>
          <cell r="B25">
            <v>5</v>
          </cell>
          <cell r="G25" t="str">
            <v>PC_014</v>
          </cell>
        </row>
        <row r="26">
          <cell r="A26">
            <v>2026</v>
          </cell>
          <cell r="B26">
            <v>5</v>
          </cell>
          <cell r="G26" t="str">
            <v>PC_015</v>
          </cell>
          <cell r="AJ26">
            <v>16729.28</v>
          </cell>
        </row>
        <row r="27">
          <cell r="A27">
            <v>2026</v>
          </cell>
          <cell r="B27">
            <v>5</v>
          </cell>
          <cell r="G27" t="str">
            <v>PC_016</v>
          </cell>
          <cell r="AJ27">
            <v>0</v>
          </cell>
        </row>
        <row r="28">
          <cell r="A28">
            <v>2026</v>
          </cell>
          <cell r="B28">
            <v>5</v>
          </cell>
          <cell r="G28" t="str">
            <v>PC_017</v>
          </cell>
          <cell r="AJ28">
            <v>0</v>
          </cell>
        </row>
        <row r="29">
          <cell r="A29">
            <v>2026</v>
          </cell>
          <cell r="B29">
            <v>5</v>
          </cell>
          <cell r="G29" t="str">
            <v>PC_018</v>
          </cell>
          <cell r="AJ29">
            <v>8447.5400000000009</v>
          </cell>
        </row>
        <row r="30">
          <cell r="A30">
            <v>2026</v>
          </cell>
          <cell r="B30">
            <v>5</v>
          </cell>
          <cell r="G30" t="str">
            <v>PC_019</v>
          </cell>
          <cell r="AJ30">
            <v>2091.1</v>
          </cell>
        </row>
        <row r="31">
          <cell r="A31">
            <v>2026</v>
          </cell>
          <cell r="B31">
            <v>5</v>
          </cell>
          <cell r="G31" t="str">
            <v>PC_020</v>
          </cell>
          <cell r="AJ31">
            <v>1793.5</v>
          </cell>
        </row>
        <row r="32">
          <cell r="A32">
            <v>2026</v>
          </cell>
          <cell r="B32">
            <v>4</v>
          </cell>
          <cell r="G32" t="str">
            <v>PC_021</v>
          </cell>
          <cell r="AJ32">
            <v>0</v>
          </cell>
        </row>
        <row r="33">
          <cell r="A33">
            <v>2026</v>
          </cell>
          <cell r="B33">
            <v>4</v>
          </cell>
          <cell r="G33" t="str">
            <v>PC_021</v>
          </cell>
          <cell r="AJ33">
            <v>536002.59</v>
          </cell>
        </row>
        <row r="34">
          <cell r="A34">
            <v>2026</v>
          </cell>
          <cell r="B34">
            <v>5</v>
          </cell>
          <cell r="G34" t="str">
            <v>PC_021</v>
          </cell>
        </row>
        <row r="35">
          <cell r="A35">
            <v>2026</v>
          </cell>
          <cell r="B35">
            <v>5</v>
          </cell>
          <cell r="G35" t="str">
            <v>PC_021</v>
          </cell>
          <cell r="AJ35">
            <v>536002.59</v>
          </cell>
        </row>
        <row r="36">
          <cell r="A36">
            <v>2026</v>
          </cell>
          <cell r="B36">
            <v>4</v>
          </cell>
          <cell r="G36" t="str">
            <v>PC_022</v>
          </cell>
          <cell r="AJ36">
            <v>0</v>
          </cell>
        </row>
        <row r="37">
          <cell r="A37">
            <v>2026</v>
          </cell>
          <cell r="B37">
            <v>4</v>
          </cell>
          <cell r="G37" t="str">
            <v>PC_022</v>
          </cell>
          <cell r="AJ37">
            <v>0</v>
          </cell>
        </row>
        <row r="38">
          <cell r="A38">
            <v>2026</v>
          </cell>
          <cell r="B38">
            <v>4</v>
          </cell>
          <cell r="G38" t="str">
            <v>PC_022</v>
          </cell>
          <cell r="AJ38">
            <v>872.71</v>
          </cell>
        </row>
        <row r="39">
          <cell r="A39">
            <v>2026</v>
          </cell>
          <cell r="B39">
            <v>4</v>
          </cell>
          <cell r="G39" t="str">
            <v>PC_022</v>
          </cell>
          <cell r="AJ39">
            <v>0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A2" sqref="A2"/>
    </sheetView>
  </sheetViews>
  <sheetFormatPr defaultRowHeight="14.4"/>
  <cols>
    <col min="2" max="2" width="19.6640625" customWidth="1"/>
    <col min="3" max="3" width="17.77734375" customWidth="1"/>
    <col min="4" max="4" width="19.109375" customWidth="1"/>
    <col min="5" max="5" width="18.88671875" customWidth="1"/>
    <col min="6" max="6" width="17.6640625" customWidth="1"/>
    <col min="7" max="7" width="16.3320312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9</v>
      </c>
      <c r="D2" s="5" t="s">
        <v>10</v>
      </c>
      <c r="E2" s="6">
        <v>46173</v>
      </c>
      <c r="F2" s="7">
        <f t="shared" ref="F2:F9" si="0">G2</f>
        <v>222.51</v>
      </c>
      <c r="G2" s="8">
        <f>SUMIFS([1]KPI!$AJ:$AJ,[1]KPI!$G:$G,B2,[1]KPI!$A:$A,VALUE(RIGHT(TEXT(E2,"dd-mm-yyyy"),4)),[1]KPI!$B:$B,VALUE(MID(TEXT(E2,"dd-mm-yyyy"),4,2)))</f>
        <v>222.51</v>
      </c>
    </row>
    <row r="3" spans="1:7">
      <c r="A3" s="4" t="s">
        <v>7</v>
      </c>
      <c r="B3" s="5" t="s">
        <v>11</v>
      </c>
      <c r="C3" s="5" t="s">
        <v>12</v>
      </c>
      <c r="D3" s="5" t="s">
        <v>10</v>
      </c>
      <c r="E3" s="6">
        <v>46173</v>
      </c>
      <c r="F3" s="7">
        <f t="shared" si="0"/>
        <v>0</v>
      </c>
      <c r="G3" s="8">
        <f>SUMIFS([1]KPI!$AJ:$AJ,[1]KPI!$G:$G,B3,[1]KPI!$A:$A,VALUE(RIGHT(TEXT(E3,"dd-mm-yyyy"),4)),[1]KPI!$B:$B,VALUE(MID(TEXT(E3,"dd-mm-yyyy"),4,2)))</f>
        <v>0</v>
      </c>
    </row>
    <row r="4" spans="1:7">
      <c r="A4" s="4" t="s">
        <v>7</v>
      </c>
      <c r="B4" s="5" t="s">
        <v>13</v>
      </c>
      <c r="C4" s="5" t="s">
        <v>14</v>
      </c>
      <c r="D4" s="5" t="s">
        <v>10</v>
      </c>
      <c r="E4" s="6">
        <v>46173</v>
      </c>
      <c r="F4" s="7">
        <f t="shared" si="0"/>
        <v>92152.950000000012</v>
      </c>
      <c r="G4" s="8">
        <f>SUMIFS([1]KPI!$AJ:$AJ,[1]KPI!$G:$G,B4,[1]KPI!$A:$A,VALUE(RIGHT(TEXT(E4,"dd-mm-yyyy"),4)),[1]KPI!$B:$B,VALUE(MID(TEXT(E4,"dd-mm-yyyy"),4,2)))</f>
        <v>92152.950000000012</v>
      </c>
    </row>
    <row r="5" spans="1:7">
      <c r="A5" s="4" t="s">
        <v>7</v>
      </c>
      <c r="B5" s="5" t="s">
        <v>15</v>
      </c>
      <c r="C5" s="5" t="s">
        <v>16</v>
      </c>
      <c r="D5" s="5" t="s">
        <v>10</v>
      </c>
      <c r="E5" s="6">
        <v>46173</v>
      </c>
      <c r="F5" s="7">
        <f t="shared" si="0"/>
        <v>19404.439999999999</v>
      </c>
      <c r="G5" s="8">
        <f>SUMIFS([1]KPI!$AJ:$AJ,[1]KPI!$G:$G,B5,[1]KPI!$A:$A,VALUE(RIGHT(TEXT(E5,"dd-mm-yyyy"),4)),[1]KPI!$B:$B,VALUE(MID(TEXT(E5,"dd-mm-yyyy"),4,2)))</f>
        <v>19404.439999999999</v>
      </c>
    </row>
    <row r="6" spans="1:7">
      <c r="A6" s="4" t="s">
        <v>7</v>
      </c>
      <c r="B6" s="5" t="s">
        <v>17</v>
      </c>
      <c r="C6" s="5" t="s">
        <v>18</v>
      </c>
      <c r="D6" s="5" t="s">
        <v>10</v>
      </c>
      <c r="E6" s="6">
        <v>46141</v>
      </c>
      <c r="F6" s="7">
        <f t="shared" si="0"/>
        <v>2756461.22</v>
      </c>
      <c r="G6" s="8">
        <f>SUMIFS([1]KPI!$AJ:$AJ,[1]KPI!$G:$G,B6,[1]KPI!$A:$A,VALUE(RIGHT(TEXT(E6,"dd-mm-yyyy"),4)),[1]KPI!$B:$B,VALUE(MID(TEXT(E6,"dd-mm-yyyy"),4,2)))</f>
        <v>2756461.22</v>
      </c>
    </row>
    <row r="7" spans="1:7">
      <c r="A7" s="4" t="s">
        <v>19</v>
      </c>
      <c r="B7" s="5" t="s">
        <v>20</v>
      </c>
      <c r="C7" s="5" t="s">
        <v>21</v>
      </c>
      <c r="D7" s="5" t="s">
        <v>22</v>
      </c>
      <c r="E7" s="6">
        <v>46172</v>
      </c>
      <c r="F7" s="7">
        <f t="shared" si="0"/>
        <v>18566.150000000001</v>
      </c>
      <c r="G7" s="8">
        <f>SUMIFS([1]KPI!$AJ:$AJ,[1]KPI!$G:$G,B7,[1]KPI!$A:$A,VALUE(RIGHT(TEXT(E7,"dd-mm-yyyy"),4)),[1]KPI!$B:$B,VALUE(MID(TEXT(E7,"dd-mm-yyyy"),4,2)))</f>
        <v>18566.150000000001</v>
      </c>
    </row>
    <row r="8" spans="1:7">
      <c r="A8" s="4" t="s">
        <v>19</v>
      </c>
      <c r="B8" s="5" t="s">
        <v>23</v>
      </c>
      <c r="C8" s="5" t="s">
        <v>24</v>
      </c>
      <c r="D8" s="5" t="s">
        <v>22</v>
      </c>
      <c r="E8" s="6">
        <v>46173</v>
      </c>
      <c r="F8" s="7">
        <f t="shared" si="0"/>
        <v>2536.66</v>
      </c>
      <c r="G8" s="8">
        <f>SUMIFS([1]KPI!$AJ:$AJ,[1]KPI!$G:$G,B8,[1]KPI!$A:$A,VALUE(RIGHT(TEXT(E8,"dd-mm-yyyy"),4)),[1]KPI!$B:$B,VALUE(MID(TEXT(E8,"dd-mm-yyyy"),4,2)))</f>
        <v>2536.66</v>
      </c>
    </row>
    <row r="9" spans="1:7">
      <c r="A9" s="4" t="s">
        <v>19</v>
      </c>
      <c r="B9" s="5" t="s">
        <v>25</v>
      </c>
      <c r="C9" s="5" t="s">
        <v>26</v>
      </c>
      <c r="D9" s="5" t="s">
        <v>22</v>
      </c>
      <c r="E9" s="6">
        <v>46173</v>
      </c>
      <c r="F9" s="7">
        <f t="shared" si="0"/>
        <v>0</v>
      </c>
      <c r="G9" s="8">
        <f>SUMIFS([1]KPI!$AJ:$AJ,[1]KPI!$G:$G,B9,[1]KPI!$A:$A,VALUE(RIGHT(TEXT(E9,"dd-mm-yyyy"),4)),[1]KPI!$B:$B,VALUE(MID(TEXT(E9,"dd-mm-yyyy"),4,2)))</f>
        <v>0</v>
      </c>
    </row>
    <row r="10" spans="1:7">
      <c r="A10" s="4" t="s">
        <v>19</v>
      </c>
      <c r="B10" s="5" t="s">
        <v>27</v>
      </c>
      <c r="C10" s="5" t="s">
        <v>28</v>
      </c>
      <c r="D10" s="5" t="s">
        <v>22</v>
      </c>
      <c r="E10" s="6">
        <v>46142</v>
      </c>
      <c r="F10" s="7">
        <v>162890.04</v>
      </c>
      <c r="G10" s="8">
        <f>SUMIFS([1]KPI!$AJ:$AJ,[1]KPI!$G:$G,B10,[1]KPI!$A:$A,VALUE(RIGHT(TEXT(E10,"dd-mm-yyyy"),4)),[1]KPI!$B:$B,VALUE(MID(TEXT(E10,"dd-mm-yyyy"),4,2)))</f>
        <v>163415.49</v>
      </c>
    </row>
    <row r="11" spans="1:7">
      <c r="A11" s="4" t="s">
        <v>19</v>
      </c>
      <c r="B11" s="5" t="s">
        <v>27</v>
      </c>
      <c r="C11" s="5" t="s">
        <v>28</v>
      </c>
      <c r="D11" s="5" t="s">
        <v>22</v>
      </c>
      <c r="E11" s="6">
        <v>46173</v>
      </c>
      <c r="F11" s="7">
        <f t="shared" ref="F11:F16" si="1">G11</f>
        <v>0</v>
      </c>
      <c r="G11" s="8">
        <f>SUMIFS([1]KPI!$AJ:$AJ,[1]KPI!$G:$G,B11,[1]KPI!$A:$A,VALUE(RIGHT(TEXT(E11,"dd-mm-yyyy"),4)),[1]KPI!$B:$B,VALUE(MID(TEXT(E11,"dd-mm-yyyy"),4,2)))</f>
        <v>0</v>
      </c>
    </row>
    <row r="12" spans="1:7">
      <c r="A12" s="4" t="s">
        <v>19</v>
      </c>
      <c r="B12" s="5" t="s">
        <v>29</v>
      </c>
      <c r="C12" s="5" t="s">
        <v>30</v>
      </c>
      <c r="D12" s="5" t="s">
        <v>22</v>
      </c>
      <c r="E12" s="6">
        <v>46172</v>
      </c>
      <c r="F12" s="7">
        <f t="shared" si="1"/>
        <v>640</v>
      </c>
      <c r="G12" s="8">
        <f>SUMIFS([1]KPI!$AJ:$AJ,[1]KPI!$G:$G,B12,[1]KPI!$A:$A,VALUE(RIGHT(TEXT(E12,"dd-mm-yyyy"),4)),[1]KPI!$B:$B,VALUE(MID(TEXT(E12,"dd-mm-yyyy"),4,2)))</f>
        <v>640</v>
      </c>
    </row>
    <row r="13" spans="1:7">
      <c r="A13" s="4" t="s">
        <v>19</v>
      </c>
      <c r="B13" s="5" t="s">
        <v>31</v>
      </c>
      <c r="C13" s="5" t="s">
        <v>32</v>
      </c>
      <c r="D13" s="5" t="s">
        <v>22</v>
      </c>
      <c r="E13" s="6">
        <v>46141</v>
      </c>
      <c r="F13" s="7">
        <f t="shared" si="1"/>
        <v>86569.61</v>
      </c>
      <c r="G13" s="8">
        <f>SUMIFS([1]KPI!$AJ:$AJ,[1]KPI!$G:$G,B13,[1]KPI!$A:$A,VALUE(RIGHT(TEXT(E13,"dd-mm-yyyy"),4)),[1]KPI!$B:$B,VALUE(MID(TEXT(E13,"dd-mm-yyyy"),4,2)))</f>
        <v>86569.61</v>
      </c>
    </row>
    <row r="14" spans="1:7">
      <c r="A14" s="4" t="s">
        <v>19</v>
      </c>
      <c r="B14" s="5" t="s">
        <v>31</v>
      </c>
      <c r="C14" s="5" t="s">
        <v>32</v>
      </c>
      <c r="D14" s="5" t="s">
        <v>22</v>
      </c>
      <c r="E14" s="6">
        <v>46173</v>
      </c>
      <c r="F14" s="7">
        <f t="shared" si="1"/>
        <v>0</v>
      </c>
      <c r="G14" s="8">
        <f>SUMIFS([1]KPI!$AJ:$AJ,[1]KPI!$G:$G,B14,[1]KPI!$A:$A,VALUE(RIGHT(TEXT(E14,"dd-mm-yyyy"),4)),[1]KPI!$B:$B,VALUE(MID(TEXT(E14,"dd-mm-yyyy"),4,2)))</f>
        <v>0</v>
      </c>
    </row>
    <row r="15" spans="1:7">
      <c r="A15" s="4" t="s">
        <v>19</v>
      </c>
      <c r="B15" s="5" t="s">
        <v>33</v>
      </c>
      <c r="C15" s="5" t="s">
        <v>34</v>
      </c>
      <c r="D15" s="5" t="s">
        <v>22</v>
      </c>
      <c r="E15" s="6">
        <v>46142</v>
      </c>
      <c r="F15" s="7">
        <f t="shared" si="1"/>
        <v>829912.63</v>
      </c>
      <c r="G15" s="8">
        <f>SUMIFS([1]KPI!$AJ:$AJ,[1]KPI!$G:$G,B15,[1]KPI!$A:$A,VALUE(RIGHT(TEXT(E15,"dd-mm-yyyy"),4)),[1]KPI!$B:$B,VALUE(MID(TEXT(E15,"dd-mm-yyyy"),4,2)))</f>
        <v>829912.63</v>
      </c>
    </row>
    <row r="16" spans="1:7">
      <c r="A16" s="4" t="s">
        <v>19</v>
      </c>
      <c r="B16" s="5" t="s">
        <v>33</v>
      </c>
      <c r="C16" s="5" t="s">
        <v>34</v>
      </c>
      <c r="D16" s="5" t="s">
        <v>22</v>
      </c>
      <c r="E16" s="6">
        <v>46172</v>
      </c>
      <c r="F16" s="7">
        <f t="shared" si="1"/>
        <v>0</v>
      </c>
      <c r="G16" s="8">
        <f>SUMIFS([1]KPI!$AJ:$AJ,[1]KPI!$G:$G,B16,[1]KPI!$A:$A,VALUE(RIGHT(TEXT(E16,"dd-mm-yyyy"),4)),[1]KPI!$B:$B,VALUE(MID(TEXT(E16,"dd-mm-yyyy"),4,2)))</f>
        <v>0</v>
      </c>
    </row>
    <row r="17" spans="1:7">
      <c r="A17" s="4" t="s">
        <v>19</v>
      </c>
      <c r="B17" s="5" t="s">
        <v>35</v>
      </c>
      <c r="C17" s="5" t="s">
        <v>36</v>
      </c>
      <c r="D17" s="5" t="s">
        <v>22</v>
      </c>
      <c r="E17" s="6">
        <v>46142</v>
      </c>
      <c r="F17" s="7">
        <v>789</v>
      </c>
      <c r="G17" s="8">
        <f>SUMIFS([1]KPI!$AJ:$AJ,[1]KPI!$G:$G,B17,[1]KPI!$A:$A,VALUE(RIGHT(TEXT(E17,"dd-mm-yyyy"),4)),[1]KPI!$B:$B,VALUE(MID(TEXT(E17,"dd-mm-yyyy"),4,2)))</f>
        <v>0</v>
      </c>
    </row>
    <row r="18" spans="1:7">
      <c r="A18" s="4" t="s">
        <v>19</v>
      </c>
      <c r="B18" s="5" t="s">
        <v>35</v>
      </c>
      <c r="C18" s="5" t="s">
        <v>36</v>
      </c>
      <c r="D18" s="5" t="s">
        <v>22</v>
      </c>
      <c r="E18" s="6">
        <v>46173</v>
      </c>
      <c r="F18" s="7">
        <f>G18</f>
        <v>0</v>
      </c>
      <c r="G18" s="8">
        <f>SUMIFS([1]KPI!$AJ:$AJ,[1]KPI!$G:$G,B18,[1]KPI!$A:$A,VALUE(RIGHT(TEXT(E18,"dd-mm-yyyy"),4)),[1]KPI!$B:$B,VALUE(MID(TEXT(E18,"dd-mm-yyyy"),4,2)))</f>
        <v>0</v>
      </c>
    </row>
    <row r="19" spans="1:7">
      <c r="A19" s="4" t="s">
        <v>19</v>
      </c>
      <c r="B19" s="5" t="s">
        <v>37</v>
      </c>
      <c r="C19" s="5" t="s">
        <v>38</v>
      </c>
      <c r="D19" s="5" t="s">
        <v>22</v>
      </c>
      <c r="E19" s="6">
        <v>46141</v>
      </c>
      <c r="F19" s="7">
        <f>G19</f>
        <v>32615.09</v>
      </c>
      <c r="G19" s="8">
        <f>SUMIFS([1]KPI!$AJ:$AJ,[1]KPI!$G:$G,B19,[1]KPI!$A:$A,VALUE(RIGHT(TEXT(E19,"dd-mm-yyyy"),4)),[1]KPI!$B:$B,VALUE(MID(TEXT(E19,"dd-mm-yyyy"),4,2)))</f>
        <v>32615.09</v>
      </c>
    </row>
    <row r="20" spans="1:7">
      <c r="A20" s="4" t="s">
        <v>19</v>
      </c>
      <c r="B20" s="5" t="s">
        <v>37</v>
      </c>
      <c r="C20" s="5" t="s">
        <v>38</v>
      </c>
      <c r="D20" s="5" t="s">
        <v>22</v>
      </c>
      <c r="E20" s="6">
        <v>46173</v>
      </c>
      <c r="F20" s="7">
        <f>G20</f>
        <v>0</v>
      </c>
      <c r="G20" s="8">
        <f>SUMIFS([1]KPI!$AJ:$AJ,[1]KPI!$G:$G,B20,[1]KPI!$A:$A,VALUE(RIGHT(TEXT(E20,"dd-mm-yyyy"),4)),[1]KPI!$B:$B,VALUE(MID(TEXT(E20,"dd-mm-yyyy"),4,2)))</f>
        <v>0</v>
      </c>
    </row>
    <row r="21" spans="1:7">
      <c r="A21" s="4" t="s">
        <v>39</v>
      </c>
      <c r="B21" s="5" t="s">
        <v>40</v>
      </c>
      <c r="C21" s="5" t="s">
        <v>41</v>
      </c>
      <c r="D21" s="5" t="s">
        <v>10</v>
      </c>
      <c r="E21" s="6">
        <v>46173</v>
      </c>
      <c r="F21" s="7">
        <f>G21</f>
        <v>16729.28</v>
      </c>
      <c r="G21" s="8">
        <f>SUMIFS([1]KPI!$AJ:$AJ,[1]KPI!$G:$G,B21,[1]KPI!$A:$A,VALUE(RIGHT(TEXT(E21,"dd-mm-yyyy"),4)),[1]KPI!$B:$B,VALUE(MID(TEXT(E21,"dd-mm-yyyy"),4,2)))</f>
        <v>16729.28</v>
      </c>
    </row>
    <row r="22" spans="1:7">
      <c r="A22" s="4" t="s">
        <v>39</v>
      </c>
      <c r="B22" s="5" t="s">
        <v>42</v>
      </c>
      <c r="C22" s="5" t="s">
        <v>43</v>
      </c>
      <c r="D22" s="5" t="s">
        <v>10</v>
      </c>
      <c r="E22" s="6">
        <v>46173</v>
      </c>
      <c r="F22" s="7">
        <f>G22</f>
        <v>0</v>
      </c>
      <c r="G22" s="8">
        <f>SUMIFS([1]KPI!$AJ:$AJ,[1]KPI!$G:$G,B22,[1]KPI!$A:$A,VALUE(RIGHT(TEXT(E22,"dd-mm-yyyy"),4)),[1]KPI!$B:$B,VALUE(MID(TEXT(E22,"dd-mm-yyyy"),4,2)))</f>
        <v>0</v>
      </c>
    </row>
    <row r="23" spans="1:7">
      <c r="A23" s="4" t="s">
        <v>39</v>
      </c>
      <c r="B23" s="5" t="s">
        <v>44</v>
      </c>
      <c r="C23" s="5" t="s">
        <v>45</v>
      </c>
      <c r="D23" s="5" t="s">
        <v>10</v>
      </c>
      <c r="E23" s="6">
        <v>46173</v>
      </c>
      <c r="F23" s="7">
        <v>9877</v>
      </c>
      <c r="G23" s="8">
        <f>SUMIFS([1]KPI!$AJ:$AJ,[1]KPI!$G:$G,B23,[1]KPI!$A:$A,VALUE(RIGHT(TEXT(E23,"dd-mm-yyyy"),4)),[1]KPI!$B:$B,VALUE(MID(TEXT(E23,"dd-mm-yyyy"),4,2)))</f>
        <v>0</v>
      </c>
    </row>
    <row r="24" spans="1:7">
      <c r="A24" s="4" t="s">
        <v>39</v>
      </c>
      <c r="B24" s="5" t="s">
        <v>46</v>
      </c>
      <c r="C24" s="5" t="s">
        <v>47</v>
      </c>
      <c r="D24" s="5" t="s">
        <v>48</v>
      </c>
      <c r="E24" s="6">
        <v>46173</v>
      </c>
      <c r="F24" s="7">
        <f>G24</f>
        <v>8447.5400000000009</v>
      </c>
      <c r="G24" s="8">
        <f>SUMIFS([1]KPI!$AJ:$AJ,[1]KPI!$G:$G,B24,[1]KPI!$A:$A,VALUE(RIGHT(TEXT(E24,"dd-mm-yyyy"),4)),[1]KPI!$B:$B,VALUE(MID(TEXT(E24,"dd-mm-yyyy"),4,2)))</f>
        <v>8447.5400000000009</v>
      </c>
    </row>
    <row r="25" spans="1:7">
      <c r="A25" s="4" t="s">
        <v>39</v>
      </c>
      <c r="B25" s="5" t="s">
        <v>49</v>
      </c>
      <c r="C25" s="5" t="s">
        <v>50</v>
      </c>
      <c r="D25" s="5" t="s">
        <v>48</v>
      </c>
      <c r="E25" s="6">
        <v>46173</v>
      </c>
      <c r="F25" s="7">
        <f>G25</f>
        <v>2091.1</v>
      </c>
      <c r="G25" s="8">
        <f>SUMIFS([1]KPI!$AJ:$AJ,[1]KPI!$G:$G,B25,[1]KPI!$A:$A,VALUE(RIGHT(TEXT(E25,"dd-mm-yyyy"),4)),[1]KPI!$B:$B,VALUE(MID(TEXT(E25,"dd-mm-yyyy"),4,2)))</f>
        <v>2091.1</v>
      </c>
    </row>
    <row r="26" spans="1:7">
      <c r="A26" s="4" t="s">
        <v>39</v>
      </c>
      <c r="B26" s="5" t="s">
        <v>51</v>
      </c>
      <c r="C26" s="5" t="s">
        <v>52</v>
      </c>
      <c r="D26" s="5" t="s">
        <v>48</v>
      </c>
      <c r="E26" s="6">
        <v>46173</v>
      </c>
      <c r="F26" s="7">
        <f>G26</f>
        <v>1793.5</v>
      </c>
      <c r="G26" s="8">
        <f>SUMIFS([1]KPI!$AJ:$AJ,[1]KPI!$G:$G,B26,[1]KPI!$A:$A,VALUE(RIGHT(TEXT(E26,"dd-mm-yyyy"),4)),[1]KPI!$B:$B,VALUE(MID(TEXT(E26,"dd-mm-yyyy"),4,2)))</f>
        <v>1793.5</v>
      </c>
    </row>
    <row r="27" spans="1:7">
      <c r="A27" s="4" t="s">
        <v>19</v>
      </c>
      <c r="B27" s="5" t="s">
        <v>53</v>
      </c>
      <c r="C27" s="5" t="s">
        <v>54</v>
      </c>
      <c r="D27" s="5" t="s">
        <v>22</v>
      </c>
      <c r="E27" s="6">
        <v>46142</v>
      </c>
      <c r="F27" s="7">
        <f>G27</f>
        <v>536002.59</v>
      </c>
      <c r="G27" s="8">
        <f>SUMIFS([1]KPI!$AJ:$AJ,[1]KPI!$G:$G,B27,[1]KPI!$A:$A,VALUE(RIGHT(TEXT(E27,"dd-mm-yyyy"),4)),[1]KPI!$B:$B,VALUE(MID(TEXT(E27,"dd-mm-yyyy"),4,2)))</f>
        <v>536002.59</v>
      </c>
    </row>
    <row r="28" spans="1:7">
      <c r="A28" s="4" t="s">
        <v>19</v>
      </c>
      <c r="B28" s="5" t="s">
        <v>53</v>
      </c>
      <c r="C28" s="5" t="s">
        <v>54</v>
      </c>
      <c r="D28" s="5" t="s">
        <v>22</v>
      </c>
      <c r="E28" s="6">
        <v>46173</v>
      </c>
      <c r="F28" s="7">
        <v>529134</v>
      </c>
      <c r="G28" s="8">
        <f>SUMIFS([1]KPI!$AJ:$AJ,[1]KPI!$G:$G,B28,[1]KPI!$A:$A,VALUE(RIGHT(TEXT(E28,"dd-mm-yyyy"),4)),[1]KPI!$B:$B,VALUE(MID(TEXT(E28,"dd-mm-yyyy"),4,2)))</f>
        <v>536002.59</v>
      </c>
    </row>
    <row r="29" spans="1:7">
      <c r="A29" s="9" t="s">
        <v>39</v>
      </c>
      <c r="B29" s="10" t="s">
        <v>55</v>
      </c>
      <c r="C29" s="10" t="s">
        <v>56</v>
      </c>
      <c r="D29" s="10" t="s">
        <v>10</v>
      </c>
      <c r="E29" s="6">
        <v>46141</v>
      </c>
      <c r="F29" s="11">
        <f>G29</f>
        <v>872.71</v>
      </c>
      <c r="G29" s="12">
        <f>SUMIFS([1]KPI!$AJ:$AJ,[1]KPI!$G:$G,B29,[1]KPI!$A:$A,VALUE(RIGHT(TEXT(E29,"dd-mm-yyyy"),4)),[1]KPI!$B:$B,VALUE(MID(TEXT(E29,"dd-mm-yyyy"),4,2)))</f>
        <v>872.71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Aging Recon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periasamy.r89@gmail.com</dc:creator>
  <cp:lastModifiedBy>periasamy.r89@gmail.com</cp:lastModifiedBy>
  <dcterms:created xsi:type="dcterms:W3CDTF">2026-08-13T10:18:32Z</dcterms:created>
  <dcterms:modified xsi:type="dcterms:W3CDTF">2026-08-13T10:29:42Z</dcterms:modified>
</cp:coreProperties>
</file>