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FIN Recon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" l="1"/>
  <c r="M29" i="1"/>
  <c r="L29" i="1"/>
  <c r="K29" i="1"/>
  <c r="J29" i="1"/>
  <c r="I29" i="1"/>
  <c r="H29" i="1"/>
  <c r="G29" i="1"/>
  <c r="N28" i="1"/>
  <c r="M28" i="1"/>
  <c r="L28" i="1"/>
  <c r="K28" i="1"/>
  <c r="J28" i="1"/>
  <c r="I28" i="1"/>
  <c r="H28" i="1"/>
  <c r="G28" i="1"/>
  <c r="N27" i="1"/>
  <c r="M27" i="1"/>
  <c r="L27" i="1"/>
  <c r="K27" i="1"/>
  <c r="J27" i="1"/>
  <c r="I27" i="1"/>
  <c r="H27" i="1"/>
  <c r="G27" i="1"/>
  <c r="N26" i="1"/>
  <c r="M26" i="1"/>
  <c r="L26" i="1"/>
  <c r="K26" i="1"/>
  <c r="J26" i="1"/>
  <c r="I26" i="1"/>
  <c r="H26" i="1"/>
  <c r="G26" i="1"/>
  <c r="M25" i="1"/>
  <c r="K25" i="1"/>
  <c r="J25" i="1"/>
  <c r="I25" i="1"/>
  <c r="H25" i="1"/>
  <c r="G25" i="1"/>
  <c r="N24" i="1"/>
  <c r="M24" i="1"/>
  <c r="L24" i="1"/>
  <c r="K24" i="1"/>
  <c r="J24" i="1"/>
  <c r="I24" i="1"/>
  <c r="H24" i="1"/>
  <c r="G24" i="1"/>
  <c r="N23" i="1"/>
  <c r="M23" i="1"/>
  <c r="L23" i="1"/>
  <c r="K23" i="1"/>
  <c r="J23" i="1"/>
  <c r="I23" i="1"/>
  <c r="H23" i="1"/>
  <c r="G23" i="1"/>
  <c r="N22" i="1"/>
  <c r="M22" i="1"/>
  <c r="L22" i="1"/>
  <c r="K22" i="1"/>
  <c r="J22" i="1"/>
  <c r="I22" i="1"/>
  <c r="H22" i="1"/>
  <c r="G22" i="1"/>
  <c r="N21" i="1"/>
  <c r="M21" i="1"/>
  <c r="L21" i="1"/>
  <c r="K21" i="1"/>
  <c r="J21" i="1"/>
  <c r="I21" i="1"/>
  <c r="H21" i="1"/>
  <c r="G21" i="1"/>
  <c r="N20" i="1"/>
  <c r="M20" i="1"/>
  <c r="L20" i="1"/>
  <c r="K20" i="1"/>
  <c r="J20" i="1"/>
  <c r="I20" i="1"/>
  <c r="H20" i="1"/>
  <c r="G20" i="1"/>
  <c r="N19" i="1"/>
  <c r="M19" i="1"/>
  <c r="K19" i="1"/>
  <c r="J19" i="1"/>
  <c r="I19" i="1"/>
  <c r="H19" i="1"/>
  <c r="G19" i="1"/>
  <c r="N18" i="1"/>
  <c r="M18" i="1"/>
  <c r="L18" i="1"/>
  <c r="K18" i="1"/>
  <c r="J18" i="1"/>
  <c r="I18" i="1"/>
  <c r="H18" i="1"/>
  <c r="G18" i="1"/>
  <c r="N17" i="1"/>
  <c r="L17" i="1"/>
  <c r="K17" i="1"/>
  <c r="J17" i="1"/>
  <c r="I17" i="1"/>
  <c r="H17" i="1"/>
  <c r="G17" i="1"/>
  <c r="N16" i="1"/>
  <c r="M16" i="1"/>
  <c r="L16" i="1"/>
  <c r="K16" i="1"/>
  <c r="J16" i="1"/>
  <c r="I16" i="1"/>
  <c r="H16" i="1"/>
  <c r="G16" i="1"/>
  <c r="N15" i="1"/>
  <c r="M15" i="1"/>
  <c r="L15" i="1"/>
  <c r="K15" i="1"/>
  <c r="J15" i="1"/>
  <c r="I15" i="1"/>
  <c r="H15" i="1"/>
  <c r="G15" i="1"/>
  <c r="N14" i="1"/>
  <c r="M14" i="1"/>
  <c r="L14" i="1"/>
  <c r="K14" i="1"/>
  <c r="J14" i="1"/>
  <c r="I14" i="1"/>
  <c r="H14" i="1"/>
  <c r="G14" i="1"/>
  <c r="N13" i="1"/>
  <c r="M13" i="1"/>
  <c r="L13" i="1"/>
  <c r="K13" i="1"/>
  <c r="J13" i="1"/>
  <c r="I13" i="1"/>
  <c r="H13" i="1"/>
  <c r="G13" i="1"/>
  <c r="N12" i="1"/>
  <c r="M12" i="1"/>
  <c r="L12" i="1"/>
  <c r="K12" i="1"/>
  <c r="J12" i="1"/>
  <c r="I12" i="1"/>
  <c r="H12" i="1"/>
  <c r="G12" i="1"/>
  <c r="N11" i="1"/>
  <c r="M11" i="1"/>
  <c r="L11" i="1"/>
  <c r="K11" i="1"/>
  <c r="J11" i="1"/>
  <c r="I11" i="1"/>
  <c r="H11" i="1"/>
  <c r="G11" i="1"/>
  <c r="N10" i="1"/>
  <c r="M10" i="1"/>
  <c r="L10" i="1"/>
  <c r="K10" i="1"/>
  <c r="J10" i="1"/>
  <c r="I10" i="1"/>
  <c r="H10" i="1"/>
  <c r="G10" i="1"/>
  <c r="N9" i="1"/>
  <c r="M9" i="1"/>
  <c r="L9" i="1"/>
  <c r="K9" i="1"/>
  <c r="J9" i="1"/>
  <c r="I9" i="1"/>
  <c r="H9" i="1"/>
  <c r="G9" i="1"/>
  <c r="N8" i="1"/>
  <c r="M8" i="1"/>
  <c r="L8" i="1"/>
  <c r="K8" i="1"/>
  <c r="J8" i="1"/>
  <c r="I8" i="1"/>
  <c r="H8" i="1"/>
  <c r="G8" i="1"/>
  <c r="N7" i="1"/>
  <c r="L7" i="1"/>
  <c r="K7" i="1"/>
  <c r="J7" i="1"/>
  <c r="I7" i="1"/>
  <c r="H7" i="1"/>
  <c r="G7" i="1"/>
  <c r="M6" i="1"/>
  <c r="L6" i="1"/>
  <c r="K6" i="1"/>
  <c r="J6" i="1"/>
  <c r="I6" i="1"/>
  <c r="H6" i="1"/>
  <c r="G6" i="1"/>
  <c r="N5" i="1"/>
  <c r="M5" i="1"/>
  <c r="K5" i="1"/>
  <c r="J5" i="1"/>
  <c r="I5" i="1"/>
  <c r="H5" i="1"/>
  <c r="G5" i="1"/>
  <c r="M4" i="1"/>
  <c r="L4" i="1"/>
  <c r="K4" i="1"/>
  <c r="J4" i="1"/>
  <c r="I4" i="1"/>
  <c r="H4" i="1"/>
  <c r="G4" i="1"/>
  <c r="N3" i="1"/>
  <c r="M3" i="1"/>
  <c r="L3" i="1"/>
  <c r="K3" i="1"/>
  <c r="J3" i="1"/>
  <c r="I3" i="1"/>
  <c r="H3" i="1"/>
  <c r="G3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<sst xmlns="http://schemas.openxmlformats.org/spreadsheetml/2006/main" count="126" uniqueCount="64">
  <si>
    <t>Group</t>
  </si>
  <si>
    <t>FiscalYear</t>
  </si>
  <si>
    <t>FiscalMonth</t>
  </si>
  <si>
    <t>Platform</t>
  </si>
  <si>
    <t>PracticeCode</t>
  </si>
  <si>
    <t>DBPracticeName</t>
  </si>
  <si>
    <t>SHcharges</t>
  </si>
  <si>
    <t>SHpayments</t>
  </si>
  <si>
    <t>EngageCharges</t>
  </si>
  <si>
    <t>Engagepayments</t>
  </si>
  <si>
    <t>EngageAdjustments</t>
  </si>
  <si>
    <t>PM_Charges</t>
  </si>
  <si>
    <t>PM_Payments</t>
  </si>
  <si>
    <t>PM_Adjustments</t>
  </si>
  <si>
    <t>Group 1</t>
  </si>
  <si>
    <t>Platform_01</t>
  </si>
  <si>
    <t>PC_001</t>
  </si>
  <si>
    <t>Practice A</t>
  </si>
  <si>
    <t>PC_002</t>
  </si>
  <si>
    <t>Practice B</t>
  </si>
  <si>
    <t>PC_003</t>
  </si>
  <si>
    <t>Practice C</t>
  </si>
  <si>
    <t>PC_004</t>
  </si>
  <si>
    <t>Practice D</t>
  </si>
  <si>
    <t>PC_005</t>
  </si>
  <si>
    <t>Practice E</t>
  </si>
  <si>
    <t>Group 2</t>
  </si>
  <si>
    <t>Platform_02</t>
  </si>
  <si>
    <t>PC_006</t>
  </si>
  <si>
    <t>Practice F</t>
  </si>
  <si>
    <t>PC_007</t>
  </si>
  <si>
    <t>Practice G</t>
  </si>
  <si>
    <t>PC_008</t>
  </si>
  <si>
    <t>Practice H</t>
  </si>
  <si>
    <t>PC_009</t>
  </si>
  <si>
    <t>Practice I</t>
  </si>
  <si>
    <t>PC_010</t>
  </si>
  <si>
    <t>Practice J</t>
  </si>
  <si>
    <t>PC_011</t>
  </si>
  <si>
    <t>Practice K</t>
  </si>
  <si>
    <t>PC_012</t>
  </si>
  <si>
    <t>Practice L</t>
  </si>
  <si>
    <t>PC_013</t>
  </si>
  <si>
    <t>Practice M</t>
  </si>
  <si>
    <t>PC_014</t>
  </si>
  <si>
    <t>Practice N</t>
  </si>
  <si>
    <t>PC_021</t>
  </si>
  <si>
    <t>Practice U</t>
  </si>
  <si>
    <t>Group 3</t>
  </si>
  <si>
    <t>PC_015</t>
  </si>
  <si>
    <t>Practice O</t>
  </si>
  <si>
    <t>PC_016</t>
  </si>
  <si>
    <t>Practice P</t>
  </si>
  <si>
    <t>PC_017</t>
  </si>
  <si>
    <t>Practice Q</t>
  </si>
  <si>
    <t>Platform_03</t>
  </si>
  <si>
    <t>PC_018</t>
  </si>
  <si>
    <t>Practice R</t>
  </si>
  <si>
    <t>PC_019</t>
  </si>
  <si>
    <t>Practice S</t>
  </si>
  <si>
    <t>PC_020</t>
  </si>
  <si>
    <t>Practice T</t>
  </si>
  <si>
    <t>PC_022</t>
  </si>
  <si>
    <t>Practice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</si>
</sst>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C09]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b/>
      <sz val="10"/>
      <color rgb="FFFFFFFF"/>
      <name val="Aptos"/>
    </font>
    <font>
      <sz val="11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3" fillId="0" borderId="4" xfId="0" applyNumberFormat="1" applyFont="1" applyBorder="1"/>
    <xf numFmtId="0" fontId="3" fillId="0" borderId="5" xfId="0" applyFont="1" applyBorder="1"/>
    <xf numFmtId="0" fontId="3" fillId="0" borderId="6" xfId="0" applyFont="1" applyBorder="1"/>
    <xf numFmtId="164" fontId="3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nisLink%20Intern\KPI_Automation_Framework\KPI_Automation_Framework\input\KPI_Sampl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Data Pipeline Status"/>
      <sheetName val="Data Currency"/>
      <sheetName val="Practice Detail"/>
      <sheetName val="Missing Practices Summary"/>
      <sheetName val="KPI"/>
      <sheetName val="FIN Recon"/>
      <sheetName val="Aging 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FiscalYear</v>
          </cell>
          <cell r="B1" t="str">
            <v>FiscalMonth</v>
          </cell>
          <cell r="G1" t="str">
            <v>PracticeCode</v>
          </cell>
          <cell r="M1" t="str">
            <v>Current_Charges</v>
          </cell>
          <cell r="R1" t="str">
            <v>Current_Payments</v>
          </cell>
          <cell r="W1" t="str">
            <v>Current_Adjustments</v>
          </cell>
        </row>
        <row r="2">
          <cell r="A2">
            <v>2026</v>
          </cell>
          <cell r="B2">
            <v>5</v>
          </cell>
          <cell r="G2" t="str">
            <v>PC_001</v>
          </cell>
          <cell r="M2">
            <v>0</v>
          </cell>
          <cell r="R2">
            <v>0</v>
          </cell>
          <cell r="W2">
            <v>0</v>
          </cell>
        </row>
        <row r="3">
          <cell r="A3">
            <v>2026</v>
          </cell>
          <cell r="B3">
            <v>5</v>
          </cell>
          <cell r="G3" t="str">
            <v>PC_001</v>
          </cell>
          <cell r="M3">
            <v>0</v>
          </cell>
          <cell r="R3">
            <v>0</v>
          </cell>
          <cell r="W3">
            <v>0</v>
          </cell>
        </row>
        <row r="4">
          <cell r="A4">
            <v>2026</v>
          </cell>
          <cell r="B4">
            <v>5</v>
          </cell>
          <cell r="G4" t="str">
            <v>PC_002</v>
          </cell>
          <cell r="M4">
            <v>0</v>
          </cell>
          <cell r="R4">
            <v>0</v>
          </cell>
          <cell r="W4">
            <v>0</v>
          </cell>
        </row>
        <row r="5">
          <cell r="A5">
            <v>2026</v>
          </cell>
          <cell r="B5">
            <v>5</v>
          </cell>
          <cell r="G5" t="str">
            <v>PC_003</v>
          </cell>
          <cell r="M5">
            <v>35075</v>
          </cell>
          <cell r="R5">
            <v>41574.269999999997</v>
          </cell>
          <cell r="W5">
            <v>16566.12</v>
          </cell>
        </row>
        <row r="6">
          <cell r="A6">
            <v>2026</v>
          </cell>
          <cell r="B6">
            <v>5</v>
          </cell>
          <cell r="G6" t="str">
            <v>PC_003</v>
          </cell>
          <cell r="M6">
            <v>0</v>
          </cell>
          <cell r="R6">
            <v>0</v>
          </cell>
          <cell r="W6">
            <v>0</v>
          </cell>
        </row>
        <row r="7">
          <cell r="A7">
            <v>2026</v>
          </cell>
          <cell r="B7">
            <v>5</v>
          </cell>
          <cell r="G7" t="str">
            <v>PC_004</v>
          </cell>
          <cell r="M7">
            <v>0</v>
          </cell>
          <cell r="R7">
            <v>0</v>
          </cell>
          <cell r="W7">
            <v>0</v>
          </cell>
        </row>
        <row r="8">
          <cell r="A8">
            <v>2026</v>
          </cell>
          <cell r="B8">
            <v>5</v>
          </cell>
          <cell r="G8" t="str">
            <v>PC_004</v>
          </cell>
          <cell r="M8">
            <v>1948.27</v>
          </cell>
          <cell r="R8">
            <v>784.71</v>
          </cell>
          <cell r="W8">
            <v>834.45</v>
          </cell>
        </row>
        <row r="9">
          <cell r="A9">
            <v>2026</v>
          </cell>
          <cell r="B9">
            <v>4</v>
          </cell>
          <cell r="G9" t="str">
            <v>PC_005</v>
          </cell>
        </row>
        <row r="10">
          <cell r="A10">
            <v>2026</v>
          </cell>
          <cell r="B10">
            <v>5</v>
          </cell>
          <cell r="G10" t="str">
            <v>PC_006</v>
          </cell>
          <cell r="M10">
            <v>0</v>
          </cell>
          <cell r="R10">
            <v>0</v>
          </cell>
          <cell r="W10">
            <v>0</v>
          </cell>
        </row>
        <row r="11">
          <cell r="A11">
            <v>2026</v>
          </cell>
          <cell r="B11">
            <v>5</v>
          </cell>
          <cell r="G11" t="str">
            <v>PC_006</v>
          </cell>
          <cell r="M11">
            <v>13649</v>
          </cell>
          <cell r="R11">
            <v>8871.19</v>
          </cell>
          <cell r="W11">
            <v>7531.65</v>
          </cell>
        </row>
        <row r="12">
          <cell r="A12">
            <v>2026</v>
          </cell>
          <cell r="B12">
            <v>5</v>
          </cell>
          <cell r="G12" t="str">
            <v>PC_006</v>
          </cell>
          <cell r="M12">
            <v>0</v>
          </cell>
          <cell r="R12">
            <v>0</v>
          </cell>
          <cell r="W12">
            <v>0</v>
          </cell>
        </row>
        <row r="13">
          <cell r="A13">
            <v>2026</v>
          </cell>
          <cell r="B13">
            <v>5</v>
          </cell>
          <cell r="G13" t="str">
            <v>PC_007</v>
          </cell>
          <cell r="M13">
            <v>0.01</v>
          </cell>
          <cell r="R13">
            <v>0</v>
          </cell>
          <cell r="W13">
            <v>0.01</v>
          </cell>
        </row>
        <row r="14">
          <cell r="A14">
            <v>2026</v>
          </cell>
          <cell r="B14">
            <v>5</v>
          </cell>
          <cell r="G14" t="str">
            <v>PC_008</v>
          </cell>
          <cell r="M14">
            <v>0</v>
          </cell>
          <cell r="R14">
            <v>0</v>
          </cell>
          <cell r="W14">
            <v>0</v>
          </cell>
        </row>
        <row r="15">
          <cell r="A15">
            <v>2026</v>
          </cell>
          <cell r="B15">
            <v>4</v>
          </cell>
          <cell r="G15" t="str">
            <v>PC_009</v>
          </cell>
          <cell r="M15">
            <v>116925</v>
          </cell>
          <cell r="R15">
            <v>79637.490000000005</v>
          </cell>
          <cell r="W15">
            <v>27731.51</v>
          </cell>
        </row>
        <row r="16">
          <cell r="A16">
            <v>2026</v>
          </cell>
          <cell r="B16">
            <v>5</v>
          </cell>
          <cell r="G16" t="str">
            <v>PC_009</v>
          </cell>
          <cell r="M16">
            <v>0</v>
          </cell>
          <cell r="R16">
            <v>0</v>
          </cell>
          <cell r="W16">
            <v>0</v>
          </cell>
        </row>
        <row r="17">
          <cell r="A17">
            <v>2026</v>
          </cell>
          <cell r="B17">
            <v>5</v>
          </cell>
          <cell r="G17" t="str">
            <v>PC_010</v>
          </cell>
          <cell r="M17">
            <v>0</v>
          </cell>
          <cell r="R17">
            <v>0</v>
          </cell>
          <cell r="W17">
            <v>0</v>
          </cell>
        </row>
        <row r="18">
          <cell r="A18">
            <v>2026</v>
          </cell>
          <cell r="B18">
            <v>5</v>
          </cell>
          <cell r="G18" t="str">
            <v>PC_011</v>
          </cell>
          <cell r="M18">
            <v>0</v>
          </cell>
          <cell r="R18">
            <v>0</v>
          </cell>
          <cell r="W18">
            <v>0</v>
          </cell>
        </row>
        <row r="19">
          <cell r="A19">
            <v>2026</v>
          </cell>
          <cell r="B19">
            <v>4</v>
          </cell>
          <cell r="G19" t="str">
            <v>PC_011</v>
          </cell>
          <cell r="M19">
            <v>7735.25</v>
          </cell>
          <cell r="R19">
            <v>0</v>
          </cell>
          <cell r="W19">
            <v>0</v>
          </cell>
        </row>
        <row r="20">
          <cell r="A20">
            <v>2026</v>
          </cell>
          <cell r="B20">
            <v>5</v>
          </cell>
          <cell r="G20" t="str">
            <v>PC_012</v>
          </cell>
          <cell r="M20">
            <v>0</v>
          </cell>
          <cell r="R20">
            <v>0</v>
          </cell>
          <cell r="W20">
            <v>0</v>
          </cell>
        </row>
        <row r="21">
          <cell r="A21">
            <v>2026</v>
          </cell>
          <cell r="B21">
            <v>4</v>
          </cell>
          <cell r="G21" t="str">
            <v>PC_012</v>
          </cell>
          <cell r="M21">
            <v>164333.51999999999</v>
          </cell>
          <cell r="R21">
            <v>156538.70000000001</v>
          </cell>
          <cell r="W21">
            <v>34777.1</v>
          </cell>
        </row>
        <row r="22">
          <cell r="A22">
            <v>2026</v>
          </cell>
          <cell r="B22">
            <v>4</v>
          </cell>
          <cell r="G22" t="str">
            <v>PC_013</v>
          </cell>
          <cell r="M22">
            <v>0</v>
          </cell>
          <cell r="R22">
            <v>0</v>
          </cell>
          <cell r="W22">
            <v>0</v>
          </cell>
        </row>
        <row r="23">
          <cell r="A23">
            <v>2026</v>
          </cell>
          <cell r="B23">
            <v>5</v>
          </cell>
          <cell r="G23" t="str">
            <v>PC_013</v>
          </cell>
          <cell r="M23">
            <v>0</v>
          </cell>
          <cell r="R23">
            <v>0</v>
          </cell>
          <cell r="W23">
            <v>0</v>
          </cell>
        </row>
        <row r="24">
          <cell r="A24">
            <v>2026</v>
          </cell>
          <cell r="B24">
            <v>4</v>
          </cell>
          <cell r="G24" t="str">
            <v>PC_014</v>
          </cell>
          <cell r="M24">
            <v>28387</v>
          </cell>
          <cell r="R24">
            <v>11272.37</v>
          </cell>
          <cell r="W24">
            <v>4718.5</v>
          </cell>
        </row>
        <row r="25">
          <cell r="A25">
            <v>2026</v>
          </cell>
          <cell r="B25">
            <v>5</v>
          </cell>
          <cell r="G25" t="str">
            <v>PC_014</v>
          </cell>
          <cell r="M25">
            <v>0</v>
          </cell>
          <cell r="R25">
            <v>0</v>
          </cell>
          <cell r="W25">
            <v>0</v>
          </cell>
        </row>
        <row r="26">
          <cell r="A26">
            <v>2026</v>
          </cell>
          <cell r="B26">
            <v>5</v>
          </cell>
          <cell r="G26" t="str">
            <v>PC_015</v>
          </cell>
          <cell r="M26">
            <v>0</v>
          </cell>
          <cell r="R26">
            <v>0</v>
          </cell>
          <cell r="W26">
            <v>0</v>
          </cell>
        </row>
        <row r="27">
          <cell r="A27">
            <v>2026</v>
          </cell>
          <cell r="B27">
            <v>5</v>
          </cell>
          <cell r="G27" t="str">
            <v>PC_016</v>
          </cell>
          <cell r="M27">
            <v>0</v>
          </cell>
          <cell r="R27">
            <v>0</v>
          </cell>
          <cell r="W27">
            <v>0</v>
          </cell>
        </row>
        <row r="28">
          <cell r="A28">
            <v>2026</v>
          </cell>
          <cell r="B28">
            <v>5</v>
          </cell>
          <cell r="G28" t="str">
            <v>PC_017</v>
          </cell>
          <cell r="M28">
            <v>0</v>
          </cell>
          <cell r="R28">
            <v>566.21</v>
          </cell>
          <cell r="W28">
            <v>6611.7</v>
          </cell>
        </row>
        <row r="29">
          <cell r="A29">
            <v>2026</v>
          </cell>
          <cell r="B29">
            <v>5</v>
          </cell>
          <cell r="G29" t="str">
            <v>PC_018</v>
          </cell>
          <cell r="M29">
            <v>0</v>
          </cell>
          <cell r="R29">
            <v>0</v>
          </cell>
          <cell r="W29">
            <v>0</v>
          </cell>
        </row>
        <row r="30">
          <cell r="A30">
            <v>2026</v>
          </cell>
          <cell r="B30">
            <v>5</v>
          </cell>
          <cell r="G30" t="str">
            <v>PC_019</v>
          </cell>
          <cell r="M30">
            <v>0</v>
          </cell>
          <cell r="R30">
            <v>0</v>
          </cell>
          <cell r="W30">
            <v>0</v>
          </cell>
        </row>
        <row r="31">
          <cell r="A31">
            <v>2026</v>
          </cell>
          <cell r="B31">
            <v>5</v>
          </cell>
          <cell r="G31" t="str">
            <v>PC_020</v>
          </cell>
          <cell r="M31">
            <v>0</v>
          </cell>
          <cell r="R31">
            <v>6.59</v>
          </cell>
          <cell r="W31">
            <v>264.14</v>
          </cell>
        </row>
        <row r="32">
          <cell r="A32">
            <v>2026</v>
          </cell>
          <cell r="B32">
            <v>4</v>
          </cell>
          <cell r="G32" t="str">
            <v>PC_021</v>
          </cell>
          <cell r="M32">
            <v>170070.63</v>
          </cell>
          <cell r="R32">
            <v>78127.490000000005</v>
          </cell>
          <cell r="W32">
            <v>159322.91</v>
          </cell>
        </row>
        <row r="33">
          <cell r="A33">
            <v>2026</v>
          </cell>
          <cell r="B33">
            <v>4</v>
          </cell>
          <cell r="G33" t="str">
            <v>PC_021</v>
          </cell>
          <cell r="M33">
            <v>0</v>
          </cell>
          <cell r="R33">
            <v>0</v>
          </cell>
          <cell r="W33">
            <v>0</v>
          </cell>
        </row>
        <row r="34">
          <cell r="A34">
            <v>2026</v>
          </cell>
          <cell r="B34">
            <v>5</v>
          </cell>
          <cell r="G34" t="str">
            <v>PC_021</v>
          </cell>
          <cell r="M34">
            <v>0</v>
          </cell>
          <cell r="R34">
            <v>0</v>
          </cell>
          <cell r="W34">
            <v>0</v>
          </cell>
        </row>
        <row r="35">
          <cell r="A35">
            <v>2026</v>
          </cell>
          <cell r="B35">
            <v>5</v>
          </cell>
          <cell r="G35" t="str">
            <v>PC_021</v>
          </cell>
          <cell r="M35">
            <v>0</v>
          </cell>
          <cell r="R35">
            <v>0</v>
          </cell>
          <cell r="W35">
            <v>0</v>
          </cell>
        </row>
        <row r="36">
          <cell r="A36">
            <v>2026</v>
          </cell>
          <cell r="B36">
            <v>4</v>
          </cell>
          <cell r="G36" t="str">
            <v>PC_022</v>
          </cell>
          <cell r="M36">
            <v>0</v>
          </cell>
          <cell r="R36">
            <v>0</v>
          </cell>
          <cell r="W36">
            <v>0</v>
          </cell>
        </row>
        <row r="37">
          <cell r="A37">
            <v>2026</v>
          </cell>
          <cell r="B37">
            <v>4</v>
          </cell>
          <cell r="G37" t="str">
            <v>PC_022</v>
          </cell>
          <cell r="M37">
            <v>0</v>
          </cell>
          <cell r="R37">
            <v>1231.9000000000001</v>
          </cell>
          <cell r="W37">
            <v>0</v>
          </cell>
        </row>
        <row r="38">
          <cell r="A38">
            <v>2026</v>
          </cell>
          <cell r="B38">
            <v>4</v>
          </cell>
          <cell r="G38" t="str">
            <v>PC_022</v>
          </cell>
          <cell r="M38">
            <v>0</v>
          </cell>
          <cell r="R38">
            <v>0</v>
          </cell>
          <cell r="W38">
            <v>0</v>
          </cell>
        </row>
        <row r="39">
          <cell r="A39">
            <v>2026</v>
          </cell>
          <cell r="B39">
            <v>4</v>
          </cell>
          <cell r="G39" t="str">
            <v>PC_022</v>
          </cell>
          <cell r="M39">
            <v>0</v>
          </cell>
          <cell r="R39">
            <v>0</v>
          </cell>
          <cell r="W39">
            <v>0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topLeftCell="E1" workbookViewId="0">
      <selection activeCell="A2" sqref="A2"/>
    </sheetView>
  </sheetViews>
  <sheetFormatPr defaultRowHeight="14.4"/>
  <cols>
    <col min="1" max="1" width="10.88671875" customWidth="1"/>
    <col min="2" max="2" width="18.44140625" customWidth="1"/>
    <col min="3" max="3" width="18.33203125" customWidth="1"/>
    <col min="4" max="4" width="21.6640625" customWidth="1"/>
    <col min="5" max="5" width="17.88671875" customWidth="1"/>
    <col min="6" max="6" width="18.6640625" customWidth="1"/>
    <col min="7" max="7" width="17.33203125" customWidth="1"/>
    <col min="8" max="8" width="15.21875" customWidth="1"/>
    <col min="9" max="9" width="16.21875" customWidth="1"/>
    <col min="10" max="10" width="17.77734375" customWidth="1"/>
    <col min="11" max="11" width="22.33203125" customWidth="1"/>
    <col min="12" max="12" width="22.88671875" customWidth="1"/>
    <col min="13" max="13" width="19" customWidth="1"/>
    <col min="14" max="14" width="18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</row>
    <row r="2" spans="1:14">
      <c r="A2" s="5" t="s">
        <v>14</v>
      </c>
      <c r="B2" s="6">
        <v>2026</v>
      </c>
      <c r="C2" s="6">
        <v>5</v>
      </c>
      <c r="D2" s="6" t="s">
        <v>15</v>
      </c>
      <c r="E2" s="6" t="s">
        <v>16</v>
      </c>
      <c r="F2" s="6" t="s">
        <v>17</v>
      </c>
      <c r="G2" s="7">
        <f>SUMIFS([1]KPI!$M:$M,[1]KPI!$G:$G,E2,[1]KPI!$A:$A,B2,[1]KPI!$B:$B,C2)</f>
        <v>0</v>
      </c>
      <c r="H2" s="7">
        <f>SUMIFS([1]KPI!$R:$R,[1]KPI!$G:$G,E2,[1]KPI!$A:$A,B2,[1]KPI!$B:$B,C2)</f>
        <v>0</v>
      </c>
      <c r="I2" s="7">
        <f>SUMIFS([1]KPI!$M:$M,[1]KPI!$G:$G,E2,[1]KPI!$A:$A,B2,[1]KPI!$B:$B,C2)</f>
        <v>0</v>
      </c>
      <c r="J2" s="7">
        <f>SUMIFS([1]KPI!$R:$R,[1]KPI!$G:$G,E2,[1]KPI!$A:$A,B2,[1]KPI!$B:$B,C2)</f>
        <v>0</v>
      </c>
      <c r="K2" s="7">
        <f>SUMIFS([1]KPI!$W:$W,[1]KPI!$G:$G,E2,[1]KPI!$A:$A,B2,[1]KPI!$B:$B,C2)</f>
        <v>0</v>
      </c>
      <c r="L2" s="7">
        <f>SUMIFS([1]KPI!$M:$M,[1]KPI!$G:$G,E2,[1]KPI!$A:$A,B2,[1]KPI!$B:$B,C2)</f>
        <v>0</v>
      </c>
      <c r="M2" s="7">
        <f>SUMIFS([1]KPI!$R:$R,[1]KPI!$G:$G,E2,[1]KPI!$A:$A,B2,[1]KPI!$B:$B,C2)</f>
        <v>0</v>
      </c>
      <c r="N2" s="7">
        <f>SUMIFS([1]KPI!$W:$W,[1]KPI!$G:$G,E2,[1]KPI!$A:$A,B2,[1]KPI!$B:$B,C2)</f>
        <v>0</v>
      </c>
    </row>
    <row r="3" spans="1:14">
      <c r="A3" s="5" t="s">
        <v>14</v>
      </c>
      <c r="B3" s="6">
        <v>2026</v>
      </c>
      <c r="C3" s="6">
        <v>5</v>
      </c>
      <c r="D3" s="6" t="s">
        <v>15</v>
      </c>
      <c r="E3" s="6" t="s">
        <v>18</v>
      </c>
      <c r="F3" s="6" t="s">
        <v>19</v>
      </c>
      <c r="G3" s="7">
        <f>SUMIFS([1]KPI!$M:$M,[1]KPI!$G:$G,E3,[1]KPI!$A:$A,B3,[1]KPI!$B:$B,C3)</f>
        <v>0</v>
      </c>
      <c r="H3" s="7">
        <f>SUMIFS([1]KPI!$R:$R,[1]KPI!$G:$G,E3,[1]KPI!$A:$A,B3,[1]KPI!$B:$B,C3)</f>
        <v>0</v>
      </c>
      <c r="I3" s="7">
        <f>SUMIFS([1]KPI!$M:$M,[1]KPI!$G:$G,E3,[1]KPI!$A:$A,B3,[1]KPI!$B:$B,C3)</f>
        <v>0</v>
      </c>
      <c r="J3" s="7">
        <f>SUMIFS([1]KPI!$R:$R,[1]KPI!$G:$G,E3,[1]KPI!$A:$A,B3,[1]KPI!$B:$B,C3)</f>
        <v>0</v>
      </c>
      <c r="K3" s="7">
        <f>SUMIFS([1]KPI!$W:$W,[1]KPI!$G:$G,E3,[1]KPI!$A:$A,B3,[1]KPI!$B:$B,C3)</f>
        <v>0</v>
      </c>
      <c r="L3" s="7">
        <f>SUMIFS([1]KPI!$M:$M,[1]KPI!$G:$G,E3,[1]KPI!$A:$A,B3,[1]KPI!$B:$B,C3)</f>
        <v>0</v>
      </c>
      <c r="M3" s="7">
        <f>SUMIFS([1]KPI!$R:$R,[1]KPI!$G:$G,E3,[1]KPI!$A:$A,B3,[1]KPI!$B:$B,C3)</f>
        <v>0</v>
      </c>
      <c r="N3" s="7">
        <f>SUMIFS([1]KPI!$W:$W,[1]KPI!$G:$G,E3,[1]KPI!$A:$A,B3,[1]KPI!$B:$B,C3)</f>
        <v>0</v>
      </c>
    </row>
    <row r="4" spans="1:14">
      <c r="A4" s="5" t="s">
        <v>14</v>
      </c>
      <c r="B4" s="6">
        <v>2026</v>
      </c>
      <c r="C4" s="6">
        <v>5</v>
      </c>
      <c r="D4" s="6" t="s">
        <v>15</v>
      </c>
      <c r="E4" s="6" t="s">
        <v>20</v>
      </c>
      <c r="F4" s="6" t="s">
        <v>21</v>
      </c>
      <c r="G4" s="7">
        <f>SUMIFS([1]KPI!$M:$M,[1]KPI!$G:$G,E4,[1]KPI!$A:$A,B4,[1]KPI!$B:$B,C4)</f>
        <v>35075</v>
      </c>
      <c r="H4" s="7">
        <f>SUMIFS([1]KPI!$R:$R,[1]KPI!$G:$G,E4,[1]KPI!$A:$A,B4,[1]KPI!$B:$B,C4)</f>
        <v>41574.269999999997</v>
      </c>
      <c r="I4" s="7">
        <f>SUMIFS([1]KPI!$M:$M,[1]KPI!$G:$G,E4,[1]KPI!$A:$A,B4,[1]KPI!$B:$B,C4)</f>
        <v>35075</v>
      </c>
      <c r="J4" s="7">
        <f>SUMIFS([1]KPI!$R:$R,[1]KPI!$G:$G,E4,[1]KPI!$A:$A,B4,[1]KPI!$B:$B,C4)</f>
        <v>41574.269999999997</v>
      </c>
      <c r="K4" s="7">
        <f>SUMIFS([1]KPI!$W:$W,[1]KPI!$G:$G,E4,[1]KPI!$A:$A,B4,[1]KPI!$B:$B,C4)</f>
        <v>16566.12</v>
      </c>
      <c r="L4" s="7">
        <f>SUMIFS([1]KPI!$M:$M,[1]KPI!$G:$G,E4,[1]KPI!$A:$A,B4,[1]KPI!$B:$B,C4)</f>
        <v>35075</v>
      </c>
      <c r="M4" s="7">
        <f>SUMIFS([1]KPI!$R:$R,[1]KPI!$G:$G,E4,[1]KPI!$A:$A,B4,[1]KPI!$B:$B,C4)</f>
        <v>41574.269999999997</v>
      </c>
      <c r="N4" s="7">
        <v>16550.310000000001</v>
      </c>
    </row>
    <row r="5" spans="1:14">
      <c r="A5" s="5" t="s">
        <v>14</v>
      </c>
      <c r="B5" s="6">
        <v>2026</v>
      </c>
      <c r="C5" s="6">
        <v>5</v>
      </c>
      <c r="D5" s="6" t="s">
        <v>15</v>
      </c>
      <c r="E5" s="6" t="s">
        <v>22</v>
      </c>
      <c r="F5" s="6" t="s">
        <v>23</v>
      </c>
      <c r="G5" s="7">
        <f>SUMIFS([1]KPI!$M:$M,[1]KPI!$G:$G,E5,[1]KPI!$A:$A,B5,[1]KPI!$B:$B,C5)</f>
        <v>1948.27</v>
      </c>
      <c r="H5" s="7">
        <f>SUMIFS([1]KPI!$R:$R,[1]KPI!$G:$G,E5,[1]KPI!$A:$A,B5,[1]KPI!$B:$B,C5)</f>
        <v>784.71</v>
      </c>
      <c r="I5" s="7">
        <f>SUMIFS([1]KPI!$M:$M,[1]KPI!$G:$G,E5,[1]KPI!$A:$A,B5,[1]KPI!$B:$B,C5)</f>
        <v>1948.27</v>
      </c>
      <c r="J5" s="7">
        <f>SUMIFS([1]KPI!$R:$R,[1]KPI!$G:$G,E5,[1]KPI!$A:$A,B5,[1]KPI!$B:$B,C5)</f>
        <v>784.71</v>
      </c>
      <c r="K5" s="7">
        <f>SUMIFS([1]KPI!$W:$W,[1]KPI!$G:$G,E5,[1]KPI!$A:$A,B5,[1]KPI!$B:$B,C5)</f>
        <v>834.45</v>
      </c>
      <c r="L5" s="7">
        <v>1890.35</v>
      </c>
      <c r="M5" s="7">
        <f>SUMIFS([1]KPI!$R:$R,[1]KPI!$G:$G,E5,[1]KPI!$A:$A,B5,[1]KPI!$B:$B,C5)</f>
        <v>784.71</v>
      </c>
      <c r="N5" s="7">
        <f>SUMIFS([1]KPI!$W:$W,[1]KPI!$G:$G,E5,[1]KPI!$A:$A,B5,[1]KPI!$B:$B,C5)</f>
        <v>834.45</v>
      </c>
    </row>
    <row r="6" spans="1:14">
      <c r="A6" s="5" t="s">
        <v>14</v>
      </c>
      <c r="B6" s="6">
        <v>2026</v>
      </c>
      <c r="C6" s="6">
        <v>4</v>
      </c>
      <c r="D6" s="6" t="s">
        <v>15</v>
      </c>
      <c r="E6" s="6" t="s">
        <v>24</v>
      </c>
      <c r="F6" s="6" t="s">
        <v>25</v>
      </c>
      <c r="G6" s="7">
        <f>SUMIFS([1]KPI!$M:$M,[1]KPI!$G:$G,E6,[1]KPI!$A:$A,B6,[1]KPI!$B:$B,C6)</f>
        <v>0</v>
      </c>
      <c r="H6" s="7">
        <f>SUMIFS([1]KPI!$R:$R,[1]KPI!$G:$G,E6,[1]KPI!$A:$A,B6,[1]KPI!$B:$B,C6)</f>
        <v>0</v>
      </c>
      <c r="I6" s="7">
        <f>SUMIFS([1]KPI!$M:$M,[1]KPI!$G:$G,E6,[1]KPI!$A:$A,B6,[1]KPI!$B:$B,C6)</f>
        <v>0</v>
      </c>
      <c r="J6" s="7">
        <f>SUMIFS([1]KPI!$R:$R,[1]KPI!$G:$G,E6,[1]KPI!$A:$A,B6,[1]KPI!$B:$B,C6)</f>
        <v>0</v>
      </c>
      <c r="K6" s="7">
        <f>SUMIFS([1]KPI!$W:$W,[1]KPI!$G:$G,E6,[1]KPI!$A:$A,B6,[1]KPI!$B:$B,C6)</f>
        <v>0</v>
      </c>
      <c r="L6" s="7">
        <f>SUMIFS([1]KPI!$M:$M,[1]KPI!$G:$G,E6,[1]KPI!$A:$A,B6,[1]KPI!$B:$B,C6)</f>
        <v>0</v>
      </c>
      <c r="M6" s="7">
        <f>SUMIFS([1]KPI!$R:$R,[1]KPI!$G:$G,E6,[1]KPI!$A:$A,B6,[1]KPI!$B:$B,C6)</f>
        <v>0</v>
      </c>
      <c r="N6" s="7">
        <v>793</v>
      </c>
    </row>
    <row r="7" spans="1:14">
      <c r="A7" s="5" t="s">
        <v>26</v>
      </c>
      <c r="B7" s="6">
        <v>2026</v>
      </c>
      <c r="C7" s="6">
        <v>5</v>
      </c>
      <c r="D7" s="6" t="s">
        <v>27</v>
      </c>
      <c r="E7" s="6" t="s">
        <v>28</v>
      </c>
      <c r="F7" s="6" t="s">
        <v>29</v>
      </c>
      <c r="G7" s="7">
        <f>SUMIFS([1]KPI!$M:$M,[1]KPI!$G:$G,E7,[1]KPI!$A:$A,B7,[1]KPI!$B:$B,C7)</f>
        <v>13649</v>
      </c>
      <c r="H7" s="7">
        <f>SUMIFS([1]KPI!$R:$R,[1]KPI!$G:$G,E7,[1]KPI!$A:$A,B7,[1]KPI!$B:$B,C7)</f>
        <v>8871.19</v>
      </c>
      <c r="I7" s="7">
        <f>SUMIFS([1]KPI!$M:$M,[1]KPI!$G:$G,E7,[1]KPI!$A:$A,B7,[1]KPI!$B:$B,C7)</f>
        <v>13649</v>
      </c>
      <c r="J7" s="7">
        <f>SUMIFS([1]KPI!$R:$R,[1]KPI!$G:$G,E7,[1]KPI!$A:$A,B7,[1]KPI!$B:$B,C7)</f>
        <v>8871.19</v>
      </c>
      <c r="K7" s="7">
        <f>SUMIFS([1]KPI!$W:$W,[1]KPI!$G:$G,E7,[1]KPI!$A:$A,B7,[1]KPI!$B:$B,C7)</f>
        <v>7531.65</v>
      </c>
      <c r="L7" s="7">
        <f>SUMIFS([1]KPI!$M:$M,[1]KPI!$G:$G,E7,[1]KPI!$A:$A,B7,[1]KPI!$B:$B,C7)</f>
        <v>13649</v>
      </c>
      <c r="M7" s="7">
        <v>8789.2099999999991</v>
      </c>
      <c r="N7" s="7">
        <f>SUMIFS([1]KPI!$W:$W,[1]KPI!$G:$G,E7,[1]KPI!$A:$A,B7,[1]KPI!$B:$B,C7)</f>
        <v>7531.65</v>
      </c>
    </row>
    <row r="8" spans="1:14">
      <c r="A8" s="5" t="s">
        <v>26</v>
      </c>
      <c r="B8" s="6">
        <v>2026</v>
      </c>
      <c r="C8" s="6">
        <v>5</v>
      </c>
      <c r="D8" s="6" t="s">
        <v>27</v>
      </c>
      <c r="E8" s="6" t="s">
        <v>30</v>
      </c>
      <c r="F8" s="6" t="s">
        <v>31</v>
      </c>
      <c r="G8" s="7">
        <f>SUMIFS([1]KPI!$M:$M,[1]KPI!$G:$G,E8,[1]KPI!$A:$A,B8,[1]KPI!$B:$B,C8)</f>
        <v>0.01</v>
      </c>
      <c r="H8" s="7">
        <f>SUMIFS([1]KPI!$R:$R,[1]KPI!$G:$G,E8,[1]KPI!$A:$A,B8,[1]KPI!$B:$B,C8)</f>
        <v>0</v>
      </c>
      <c r="I8" s="7">
        <f>SUMIFS([1]KPI!$M:$M,[1]KPI!$G:$G,E8,[1]KPI!$A:$A,B8,[1]KPI!$B:$B,C8)</f>
        <v>0.01</v>
      </c>
      <c r="J8" s="7">
        <f>SUMIFS([1]KPI!$R:$R,[1]KPI!$G:$G,E8,[1]KPI!$A:$A,B8,[1]KPI!$B:$B,C8)</f>
        <v>0</v>
      </c>
      <c r="K8" s="7">
        <f>SUMIFS([1]KPI!$W:$W,[1]KPI!$G:$G,E8,[1]KPI!$A:$A,B8,[1]KPI!$B:$B,C8)</f>
        <v>0.01</v>
      </c>
      <c r="L8" s="7">
        <f>SUMIFS([1]KPI!$M:$M,[1]KPI!$G:$G,E8,[1]KPI!$A:$A,B8,[1]KPI!$B:$B,C8)</f>
        <v>0.01</v>
      </c>
      <c r="M8" s="7">
        <f>SUMIFS([1]KPI!$R:$R,[1]KPI!$G:$G,E8,[1]KPI!$A:$A,B8,[1]KPI!$B:$B,C8)</f>
        <v>0</v>
      </c>
      <c r="N8" s="7">
        <f>SUMIFS([1]KPI!$W:$W,[1]KPI!$G:$G,E8,[1]KPI!$A:$A,B8,[1]KPI!$B:$B,C8)</f>
        <v>0.01</v>
      </c>
    </row>
    <row r="9" spans="1:14">
      <c r="A9" s="5" t="s">
        <v>26</v>
      </c>
      <c r="B9" s="6">
        <v>2026</v>
      </c>
      <c r="C9" s="6">
        <v>5</v>
      </c>
      <c r="D9" s="6" t="s">
        <v>27</v>
      </c>
      <c r="E9" s="6" t="s">
        <v>32</v>
      </c>
      <c r="F9" s="6" t="s">
        <v>33</v>
      </c>
      <c r="G9" s="7">
        <f>SUMIFS([1]KPI!$M:$M,[1]KPI!$G:$G,E9,[1]KPI!$A:$A,B9,[1]KPI!$B:$B,C9)</f>
        <v>0</v>
      </c>
      <c r="H9" s="7">
        <f>SUMIFS([1]KPI!$R:$R,[1]KPI!$G:$G,E9,[1]KPI!$A:$A,B9,[1]KPI!$B:$B,C9)</f>
        <v>0</v>
      </c>
      <c r="I9" s="7">
        <f>SUMIFS([1]KPI!$M:$M,[1]KPI!$G:$G,E9,[1]KPI!$A:$A,B9,[1]KPI!$B:$B,C9)</f>
        <v>0</v>
      </c>
      <c r="J9" s="7">
        <f>SUMIFS([1]KPI!$R:$R,[1]KPI!$G:$G,E9,[1]KPI!$A:$A,B9,[1]KPI!$B:$B,C9)</f>
        <v>0</v>
      </c>
      <c r="K9" s="7">
        <f>SUMIFS([1]KPI!$W:$W,[1]KPI!$G:$G,E9,[1]KPI!$A:$A,B9,[1]KPI!$B:$B,C9)</f>
        <v>0</v>
      </c>
      <c r="L9" s="7">
        <f>SUMIFS([1]KPI!$M:$M,[1]KPI!$G:$G,E9,[1]KPI!$A:$A,B9,[1]KPI!$B:$B,C9)</f>
        <v>0</v>
      </c>
      <c r="M9" s="7">
        <f>SUMIFS([1]KPI!$R:$R,[1]KPI!$G:$G,E9,[1]KPI!$A:$A,B9,[1]KPI!$B:$B,C9)</f>
        <v>0</v>
      </c>
      <c r="N9" s="7">
        <f>SUMIFS([1]KPI!$W:$W,[1]KPI!$G:$G,E9,[1]KPI!$A:$A,B9,[1]KPI!$B:$B,C9)</f>
        <v>0</v>
      </c>
    </row>
    <row r="10" spans="1:14">
      <c r="A10" s="5" t="s">
        <v>26</v>
      </c>
      <c r="B10" s="6">
        <v>2026</v>
      </c>
      <c r="C10" s="6">
        <v>4</v>
      </c>
      <c r="D10" s="6" t="s">
        <v>27</v>
      </c>
      <c r="E10" s="6" t="s">
        <v>34</v>
      </c>
      <c r="F10" s="6" t="s">
        <v>35</v>
      </c>
      <c r="G10" s="7">
        <f>SUMIFS([1]KPI!$M:$M,[1]KPI!$G:$G,E10,[1]KPI!$A:$A,B10,[1]KPI!$B:$B,C10)</f>
        <v>116925</v>
      </c>
      <c r="H10" s="7">
        <f>SUMIFS([1]KPI!$R:$R,[1]KPI!$G:$G,E10,[1]KPI!$A:$A,B10,[1]KPI!$B:$B,C10)</f>
        <v>79637.490000000005</v>
      </c>
      <c r="I10" s="7">
        <f>SUMIFS([1]KPI!$M:$M,[1]KPI!$G:$G,E10,[1]KPI!$A:$A,B10,[1]KPI!$B:$B,C10)</f>
        <v>116925</v>
      </c>
      <c r="J10" s="7">
        <f>SUMIFS([1]KPI!$R:$R,[1]KPI!$G:$G,E10,[1]KPI!$A:$A,B10,[1]KPI!$B:$B,C10)</f>
        <v>79637.490000000005</v>
      </c>
      <c r="K10" s="7">
        <f>SUMIFS([1]KPI!$W:$W,[1]KPI!$G:$G,E10,[1]KPI!$A:$A,B10,[1]KPI!$B:$B,C10)</f>
        <v>27731.51</v>
      </c>
      <c r="L10" s="7">
        <f>SUMIFS([1]KPI!$M:$M,[1]KPI!$G:$G,E10,[1]KPI!$A:$A,B10,[1]KPI!$B:$B,C10)</f>
        <v>116925</v>
      </c>
      <c r="M10" s="7">
        <f>SUMIFS([1]KPI!$R:$R,[1]KPI!$G:$G,E10,[1]KPI!$A:$A,B10,[1]KPI!$B:$B,C10)</f>
        <v>79637.490000000005</v>
      </c>
      <c r="N10" s="7">
        <f>SUMIFS([1]KPI!$W:$W,[1]KPI!$G:$G,E10,[1]KPI!$A:$A,B10,[1]KPI!$B:$B,C10)</f>
        <v>27731.51</v>
      </c>
    </row>
    <row r="11" spans="1:14">
      <c r="A11" s="5" t="s">
        <v>26</v>
      </c>
      <c r="B11" s="6">
        <v>2026</v>
      </c>
      <c r="C11" s="6">
        <v>5</v>
      </c>
      <c r="D11" s="6" t="s">
        <v>27</v>
      </c>
      <c r="E11" s="6" t="s">
        <v>34</v>
      </c>
      <c r="F11" s="6" t="s">
        <v>35</v>
      </c>
      <c r="G11" s="7">
        <f>SUMIFS([1]KPI!$M:$M,[1]KPI!$G:$G,E11,[1]KPI!$A:$A,B11,[1]KPI!$B:$B,C11)</f>
        <v>0</v>
      </c>
      <c r="H11" s="7">
        <f>SUMIFS([1]KPI!$R:$R,[1]KPI!$G:$G,E11,[1]KPI!$A:$A,B11,[1]KPI!$B:$B,C11)</f>
        <v>0</v>
      </c>
      <c r="I11" s="7">
        <f>SUMIFS([1]KPI!$M:$M,[1]KPI!$G:$G,E11,[1]KPI!$A:$A,B11,[1]KPI!$B:$B,C11)</f>
        <v>0</v>
      </c>
      <c r="J11" s="7">
        <f>SUMIFS([1]KPI!$R:$R,[1]KPI!$G:$G,E11,[1]KPI!$A:$A,B11,[1]KPI!$B:$B,C11)</f>
        <v>0</v>
      </c>
      <c r="K11" s="7">
        <f>SUMIFS([1]KPI!$W:$W,[1]KPI!$G:$G,E11,[1]KPI!$A:$A,B11,[1]KPI!$B:$B,C11)</f>
        <v>0</v>
      </c>
      <c r="L11" s="7">
        <f>SUMIFS([1]KPI!$M:$M,[1]KPI!$G:$G,E11,[1]KPI!$A:$A,B11,[1]KPI!$B:$B,C11)</f>
        <v>0</v>
      </c>
      <c r="M11" s="7">
        <f>SUMIFS([1]KPI!$R:$R,[1]KPI!$G:$G,E11,[1]KPI!$A:$A,B11,[1]KPI!$B:$B,C11)</f>
        <v>0</v>
      </c>
      <c r="N11" s="7">
        <f>SUMIFS([1]KPI!$W:$W,[1]KPI!$G:$G,E11,[1]KPI!$A:$A,B11,[1]KPI!$B:$B,C11)</f>
        <v>0</v>
      </c>
    </row>
    <row r="12" spans="1:14">
      <c r="A12" s="5" t="s">
        <v>26</v>
      </c>
      <c r="B12" s="6">
        <v>2026</v>
      </c>
      <c r="C12" s="6">
        <v>5</v>
      </c>
      <c r="D12" s="6" t="s">
        <v>27</v>
      </c>
      <c r="E12" s="6" t="s">
        <v>36</v>
      </c>
      <c r="F12" s="6" t="s">
        <v>37</v>
      </c>
      <c r="G12" s="7">
        <f>SUMIFS([1]KPI!$M:$M,[1]KPI!$G:$G,E12,[1]KPI!$A:$A,B12,[1]KPI!$B:$B,C12)</f>
        <v>0</v>
      </c>
      <c r="H12" s="7">
        <f>SUMIFS([1]KPI!$R:$R,[1]KPI!$G:$G,E12,[1]KPI!$A:$A,B12,[1]KPI!$B:$B,C12)</f>
        <v>0</v>
      </c>
      <c r="I12" s="7">
        <f>SUMIFS([1]KPI!$M:$M,[1]KPI!$G:$G,E12,[1]KPI!$A:$A,B12,[1]KPI!$B:$B,C12)</f>
        <v>0</v>
      </c>
      <c r="J12" s="7">
        <f>SUMIFS([1]KPI!$R:$R,[1]KPI!$G:$G,E12,[1]KPI!$A:$A,B12,[1]KPI!$B:$B,C12)</f>
        <v>0</v>
      </c>
      <c r="K12" s="7">
        <f>SUMIFS([1]KPI!$W:$W,[1]KPI!$G:$G,E12,[1]KPI!$A:$A,B12,[1]KPI!$B:$B,C12)</f>
        <v>0</v>
      </c>
      <c r="L12" s="7">
        <f>SUMIFS([1]KPI!$M:$M,[1]KPI!$G:$G,E12,[1]KPI!$A:$A,B12,[1]KPI!$B:$B,C12)</f>
        <v>0</v>
      </c>
      <c r="M12" s="7">
        <f>SUMIFS([1]KPI!$R:$R,[1]KPI!$G:$G,E12,[1]KPI!$A:$A,B12,[1]KPI!$B:$B,C12)</f>
        <v>0</v>
      </c>
      <c r="N12" s="7">
        <f>SUMIFS([1]KPI!$W:$W,[1]KPI!$G:$G,E12,[1]KPI!$A:$A,B12,[1]KPI!$B:$B,C12)</f>
        <v>0</v>
      </c>
    </row>
    <row r="13" spans="1:14">
      <c r="A13" s="5" t="s">
        <v>26</v>
      </c>
      <c r="B13" s="6">
        <v>2026</v>
      </c>
      <c r="C13" s="6">
        <v>4</v>
      </c>
      <c r="D13" s="6" t="s">
        <v>27</v>
      </c>
      <c r="E13" s="6" t="s">
        <v>38</v>
      </c>
      <c r="F13" s="6" t="s">
        <v>39</v>
      </c>
      <c r="G13" s="7">
        <f>SUMIFS([1]KPI!$M:$M,[1]KPI!$G:$G,E13,[1]KPI!$A:$A,B13,[1]KPI!$B:$B,C13)</f>
        <v>7735.25</v>
      </c>
      <c r="H13" s="7">
        <f>SUMIFS([1]KPI!$R:$R,[1]KPI!$G:$G,E13,[1]KPI!$A:$A,B13,[1]KPI!$B:$B,C13)</f>
        <v>0</v>
      </c>
      <c r="I13" s="7">
        <f>SUMIFS([1]KPI!$M:$M,[1]KPI!$G:$G,E13,[1]KPI!$A:$A,B13,[1]KPI!$B:$B,C13)</f>
        <v>7735.25</v>
      </c>
      <c r="J13" s="7">
        <f>SUMIFS([1]KPI!$R:$R,[1]KPI!$G:$G,E13,[1]KPI!$A:$A,B13,[1]KPI!$B:$B,C13)</f>
        <v>0</v>
      </c>
      <c r="K13" s="7">
        <f>SUMIFS([1]KPI!$W:$W,[1]KPI!$G:$G,E13,[1]KPI!$A:$A,B13,[1]KPI!$B:$B,C13)</f>
        <v>0</v>
      </c>
      <c r="L13" s="7">
        <f>SUMIFS([1]KPI!$M:$M,[1]KPI!$G:$G,E13,[1]KPI!$A:$A,B13,[1]KPI!$B:$B,C13)</f>
        <v>7735.25</v>
      </c>
      <c r="M13" s="7">
        <f>SUMIFS([1]KPI!$R:$R,[1]KPI!$G:$G,E13,[1]KPI!$A:$A,B13,[1]KPI!$B:$B,C13)</f>
        <v>0</v>
      </c>
      <c r="N13" s="7">
        <f>SUMIFS([1]KPI!$W:$W,[1]KPI!$G:$G,E13,[1]KPI!$A:$A,B13,[1]KPI!$B:$B,C13)</f>
        <v>0</v>
      </c>
    </row>
    <row r="14" spans="1:14">
      <c r="A14" s="5" t="s">
        <v>26</v>
      </c>
      <c r="B14" s="6">
        <v>2026</v>
      </c>
      <c r="C14" s="6">
        <v>5</v>
      </c>
      <c r="D14" s="6" t="s">
        <v>27</v>
      </c>
      <c r="E14" s="6" t="s">
        <v>38</v>
      </c>
      <c r="F14" s="6" t="s">
        <v>39</v>
      </c>
      <c r="G14" s="7">
        <f>SUMIFS([1]KPI!$M:$M,[1]KPI!$G:$G,E14,[1]KPI!$A:$A,B14,[1]KPI!$B:$B,C14)</f>
        <v>0</v>
      </c>
      <c r="H14" s="7">
        <f>SUMIFS([1]KPI!$R:$R,[1]KPI!$G:$G,E14,[1]KPI!$A:$A,B14,[1]KPI!$B:$B,C14)</f>
        <v>0</v>
      </c>
      <c r="I14" s="7">
        <f>SUMIFS([1]KPI!$M:$M,[1]KPI!$G:$G,E14,[1]KPI!$A:$A,B14,[1]KPI!$B:$B,C14)</f>
        <v>0</v>
      </c>
      <c r="J14" s="7">
        <f>SUMIFS([1]KPI!$R:$R,[1]KPI!$G:$G,E14,[1]KPI!$A:$A,B14,[1]KPI!$B:$B,C14)</f>
        <v>0</v>
      </c>
      <c r="K14" s="7">
        <f>SUMIFS([1]KPI!$W:$W,[1]KPI!$G:$G,E14,[1]KPI!$A:$A,B14,[1]KPI!$B:$B,C14)</f>
        <v>0</v>
      </c>
      <c r="L14" s="7">
        <f>SUMIFS([1]KPI!$M:$M,[1]KPI!$G:$G,E14,[1]KPI!$A:$A,B14,[1]KPI!$B:$B,C14)</f>
        <v>0</v>
      </c>
      <c r="M14" s="7">
        <f>SUMIFS([1]KPI!$R:$R,[1]KPI!$G:$G,E14,[1]KPI!$A:$A,B14,[1]KPI!$B:$B,C14)</f>
        <v>0</v>
      </c>
      <c r="N14" s="7">
        <f>SUMIFS([1]KPI!$W:$W,[1]KPI!$G:$G,E14,[1]KPI!$A:$A,B14,[1]KPI!$B:$B,C14)</f>
        <v>0</v>
      </c>
    </row>
    <row r="15" spans="1:14">
      <c r="A15" s="5" t="s">
        <v>26</v>
      </c>
      <c r="B15" s="6">
        <v>2026</v>
      </c>
      <c r="C15" s="6">
        <v>4</v>
      </c>
      <c r="D15" s="6" t="s">
        <v>27</v>
      </c>
      <c r="E15" s="6" t="s">
        <v>40</v>
      </c>
      <c r="F15" s="6" t="s">
        <v>41</v>
      </c>
      <c r="G15" s="7">
        <f>SUMIFS([1]KPI!$M:$M,[1]KPI!$G:$G,E15,[1]KPI!$A:$A,B15,[1]KPI!$B:$B,C15)</f>
        <v>164333.51999999999</v>
      </c>
      <c r="H15" s="7">
        <f>SUMIFS([1]KPI!$R:$R,[1]KPI!$G:$G,E15,[1]KPI!$A:$A,B15,[1]KPI!$B:$B,C15)</f>
        <v>156538.70000000001</v>
      </c>
      <c r="I15" s="7">
        <f>SUMIFS([1]KPI!$M:$M,[1]KPI!$G:$G,E15,[1]KPI!$A:$A,B15,[1]KPI!$B:$B,C15)</f>
        <v>164333.51999999999</v>
      </c>
      <c r="J15" s="7">
        <f>SUMIFS([1]KPI!$R:$R,[1]KPI!$G:$G,E15,[1]KPI!$A:$A,B15,[1]KPI!$B:$B,C15)</f>
        <v>156538.70000000001</v>
      </c>
      <c r="K15" s="7">
        <f>SUMIFS([1]KPI!$W:$W,[1]KPI!$G:$G,E15,[1]KPI!$A:$A,B15,[1]KPI!$B:$B,C15)</f>
        <v>34777.1</v>
      </c>
      <c r="L15" s="7">
        <f>SUMIFS([1]KPI!$M:$M,[1]KPI!$G:$G,E15,[1]KPI!$A:$A,B15,[1]KPI!$B:$B,C15)</f>
        <v>164333.51999999999</v>
      </c>
      <c r="M15" s="7">
        <f>SUMIFS([1]KPI!$R:$R,[1]KPI!$G:$G,E15,[1]KPI!$A:$A,B15,[1]KPI!$B:$B,C15)</f>
        <v>156538.70000000001</v>
      </c>
      <c r="N15" s="7">
        <f>SUMIFS([1]KPI!$W:$W,[1]KPI!$G:$G,E15,[1]KPI!$A:$A,B15,[1]KPI!$B:$B,C15)</f>
        <v>34777.1</v>
      </c>
    </row>
    <row r="16" spans="1:14">
      <c r="A16" s="5" t="s">
        <v>26</v>
      </c>
      <c r="B16" s="6">
        <v>2026</v>
      </c>
      <c r="C16" s="6">
        <v>5</v>
      </c>
      <c r="D16" s="6" t="s">
        <v>27</v>
      </c>
      <c r="E16" s="6" t="s">
        <v>40</v>
      </c>
      <c r="F16" s="6" t="s">
        <v>41</v>
      </c>
      <c r="G16" s="7">
        <f>SUMIFS([1]KPI!$M:$M,[1]KPI!$G:$G,E16,[1]KPI!$A:$A,B16,[1]KPI!$B:$B,C16)</f>
        <v>0</v>
      </c>
      <c r="H16" s="7">
        <f>SUMIFS([1]KPI!$R:$R,[1]KPI!$G:$G,E16,[1]KPI!$A:$A,B16,[1]KPI!$B:$B,C16)</f>
        <v>0</v>
      </c>
      <c r="I16" s="7">
        <f>SUMIFS([1]KPI!$M:$M,[1]KPI!$G:$G,E16,[1]KPI!$A:$A,B16,[1]KPI!$B:$B,C16)</f>
        <v>0</v>
      </c>
      <c r="J16" s="7">
        <f>SUMIFS([1]KPI!$R:$R,[1]KPI!$G:$G,E16,[1]KPI!$A:$A,B16,[1]KPI!$B:$B,C16)</f>
        <v>0</v>
      </c>
      <c r="K16" s="7">
        <f>SUMIFS([1]KPI!$W:$W,[1]KPI!$G:$G,E16,[1]KPI!$A:$A,B16,[1]KPI!$B:$B,C16)</f>
        <v>0</v>
      </c>
      <c r="L16" s="7">
        <f>SUMIFS([1]KPI!$M:$M,[1]KPI!$G:$G,E16,[1]KPI!$A:$A,B16,[1]KPI!$B:$B,C16)</f>
        <v>0</v>
      </c>
      <c r="M16" s="7">
        <f>SUMIFS([1]KPI!$R:$R,[1]KPI!$G:$G,E16,[1]KPI!$A:$A,B16,[1]KPI!$B:$B,C16)</f>
        <v>0</v>
      </c>
      <c r="N16" s="7">
        <f>SUMIFS([1]KPI!$W:$W,[1]KPI!$G:$G,E16,[1]KPI!$A:$A,B16,[1]KPI!$B:$B,C16)</f>
        <v>0</v>
      </c>
    </row>
    <row r="17" spans="1:14">
      <c r="A17" s="5" t="s">
        <v>26</v>
      </c>
      <c r="B17" s="6">
        <v>2026</v>
      </c>
      <c r="C17" s="6">
        <v>4</v>
      </c>
      <c r="D17" s="6" t="s">
        <v>27</v>
      </c>
      <c r="E17" s="6" t="s">
        <v>42</v>
      </c>
      <c r="F17" s="6" t="s">
        <v>43</v>
      </c>
      <c r="G17" s="7">
        <f>SUMIFS([1]KPI!$M:$M,[1]KPI!$G:$G,E17,[1]KPI!$A:$A,B17,[1]KPI!$B:$B,C17)</f>
        <v>0</v>
      </c>
      <c r="H17" s="7">
        <f>SUMIFS([1]KPI!$R:$R,[1]KPI!$G:$G,E17,[1]KPI!$A:$A,B17,[1]KPI!$B:$B,C17)</f>
        <v>0</v>
      </c>
      <c r="I17" s="7">
        <f>SUMIFS([1]KPI!$M:$M,[1]KPI!$G:$G,E17,[1]KPI!$A:$A,B17,[1]KPI!$B:$B,C17)</f>
        <v>0</v>
      </c>
      <c r="J17" s="7">
        <f>SUMIFS([1]KPI!$R:$R,[1]KPI!$G:$G,E17,[1]KPI!$A:$A,B17,[1]KPI!$B:$B,C17)</f>
        <v>0</v>
      </c>
      <c r="K17" s="7">
        <f>SUMIFS([1]KPI!$W:$W,[1]KPI!$G:$G,E17,[1]KPI!$A:$A,B17,[1]KPI!$B:$B,C17)</f>
        <v>0</v>
      </c>
      <c r="L17" s="7">
        <f>SUMIFS([1]KPI!$M:$M,[1]KPI!$G:$G,E17,[1]KPI!$A:$A,B17,[1]KPI!$B:$B,C17)</f>
        <v>0</v>
      </c>
      <c r="M17" s="7">
        <v>8890</v>
      </c>
      <c r="N17" s="7">
        <f>SUMIFS([1]KPI!$W:$W,[1]KPI!$G:$G,E17,[1]KPI!$A:$A,B17,[1]KPI!$B:$B,C17)</f>
        <v>0</v>
      </c>
    </row>
    <row r="18" spans="1:14">
      <c r="A18" s="5" t="s">
        <v>26</v>
      </c>
      <c r="B18" s="6">
        <v>2026</v>
      </c>
      <c r="C18" s="6">
        <v>5</v>
      </c>
      <c r="D18" s="6" t="s">
        <v>27</v>
      </c>
      <c r="E18" s="6" t="s">
        <v>42</v>
      </c>
      <c r="F18" s="6" t="s">
        <v>43</v>
      </c>
      <c r="G18" s="7">
        <f>SUMIFS([1]KPI!$M:$M,[1]KPI!$G:$G,E18,[1]KPI!$A:$A,B18,[1]KPI!$B:$B,C18)</f>
        <v>0</v>
      </c>
      <c r="H18" s="7">
        <f>SUMIFS([1]KPI!$R:$R,[1]KPI!$G:$G,E18,[1]KPI!$A:$A,B18,[1]KPI!$B:$B,C18)</f>
        <v>0</v>
      </c>
      <c r="I18" s="7">
        <f>SUMIFS([1]KPI!$M:$M,[1]KPI!$G:$G,E18,[1]KPI!$A:$A,B18,[1]KPI!$B:$B,C18)</f>
        <v>0</v>
      </c>
      <c r="J18" s="7">
        <f>SUMIFS([1]KPI!$R:$R,[1]KPI!$G:$G,E18,[1]KPI!$A:$A,B18,[1]KPI!$B:$B,C18)</f>
        <v>0</v>
      </c>
      <c r="K18" s="7">
        <f>SUMIFS([1]KPI!$W:$W,[1]KPI!$G:$G,E18,[1]KPI!$A:$A,B18,[1]KPI!$B:$B,C18)</f>
        <v>0</v>
      </c>
      <c r="L18" s="7">
        <f>SUMIFS([1]KPI!$M:$M,[1]KPI!$G:$G,E18,[1]KPI!$A:$A,B18,[1]KPI!$B:$B,C18)</f>
        <v>0</v>
      </c>
      <c r="M18" s="7">
        <f>SUMIFS([1]KPI!$R:$R,[1]KPI!$G:$G,E18,[1]KPI!$A:$A,B18,[1]KPI!$B:$B,C18)</f>
        <v>0</v>
      </c>
      <c r="N18" s="7">
        <f>SUMIFS([1]KPI!$W:$W,[1]KPI!$G:$G,E18,[1]KPI!$A:$A,B18,[1]KPI!$B:$B,C18)</f>
        <v>0</v>
      </c>
    </row>
    <row r="19" spans="1:14">
      <c r="A19" s="5" t="s">
        <v>26</v>
      </c>
      <c r="B19" s="6">
        <v>2026</v>
      </c>
      <c r="C19" s="6">
        <v>4</v>
      </c>
      <c r="D19" s="6" t="s">
        <v>27</v>
      </c>
      <c r="E19" s="6" t="s">
        <v>44</v>
      </c>
      <c r="F19" s="6" t="s">
        <v>45</v>
      </c>
      <c r="G19" s="7">
        <f>SUMIFS([1]KPI!$M:$M,[1]KPI!$G:$G,E19,[1]KPI!$A:$A,B19,[1]KPI!$B:$B,C19)</f>
        <v>28387</v>
      </c>
      <c r="H19" s="7">
        <f>SUMIFS([1]KPI!$R:$R,[1]KPI!$G:$G,E19,[1]KPI!$A:$A,B19,[1]KPI!$B:$B,C19)</f>
        <v>11272.37</v>
      </c>
      <c r="I19" s="7">
        <f>SUMIFS([1]KPI!$M:$M,[1]KPI!$G:$G,E19,[1]KPI!$A:$A,B19,[1]KPI!$B:$B,C19)</f>
        <v>28387</v>
      </c>
      <c r="J19" s="7">
        <f>SUMIFS([1]KPI!$R:$R,[1]KPI!$G:$G,E19,[1]KPI!$A:$A,B19,[1]KPI!$B:$B,C19)</f>
        <v>11272.37</v>
      </c>
      <c r="K19" s="7">
        <f>SUMIFS([1]KPI!$W:$W,[1]KPI!$G:$G,E19,[1]KPI!$A:$A,B19,[1]KPI!$B:$B,C19)</f>
        <v>4718.5</v>
      </c>
      <c r="L19" s="7">
        <v>27315</v>
      </c>
      <c r="M19" s="7">
        <f>SUMIFS([1]KPI!$R:$R,[1]KPI!$G:$G,E19,[1]KPI!$A:$A,B19,[1]KPI!$B:$B,C19)</f>
        <v>11272.37</v>
      </c>
      <c r="N19" s="7">
        <f>SUMIFS([1]KPI!$W:$W,[1]KPI!$G:$G,E19,[1]KPI!$A:$A,B19,[1]KPI!$B:$B,C19)</f>
        <v>4718.5</v>
      </c>
    </row>
    <row r="20" spans="1:14">
      <c r="A20" s="5" t="s">
        <v>26</v>
      </c>
      <c r="B20" s="6">
        <v>2026</v>
      </c>
      <c r="C20" s="6">
        <v>5</v>
      </c>
      <c r="D20" s="6" t="s">
        <v>27</v>
      </c>
      <c r="E20" s="6" t="s">
        <v>44</v>
      </c>
      <c r="F20" s="6" t="s">
        <v>45</v>
      </c>
      <c r="G20" s="7">
        <f>SUMIFS([1]KPI!$M:$M,[1]KPI!$G:$G,E20,[1]KPI!$A:$A,B20,[1]KPI!$B:$B,C20)</f>
        <v>0</v>
      </c>
      <c r="H20" s="7">
        <f>SUMIFS([1]KPI!$R:$R,[1]KPI!$G:$G,E20,[1]KPI!$A:$A,B20,[1]KPI!$B:$B,C20)</f>
        <v>0</v>
      </c>
      <c r="I20" s="7">
        <f>SUMIFS([1]KPI!$M:$M,[1]KPI!$G:$G,E20,[1]KPI!$A:$A,B20,[1]KPI!$B:$B,C20)</f>
        <v>0</v>
      </c>
      <c r="J20" s="7">
        <f>SUMIFS([1]KPI!$R:$R,[1]KPI!$G:$G,E20,[1]KPI!$A:$A,B20,[1]KPI!$B:$B,C20)</f>
        <v>0</v>
      </c>
      <c r="K20" s="7">
        <f>SUMIFS([1]KPI!$W:$W,[1]KPI!$G:$G,E20,[1]KPI!$A:$A,B20,[1]KPI!$B:$B,C20)</f>
        <v>0</v>
      </c>
      <c r="L20" s="7">
        <f>SUMIFS([1]KPI!$M:$M,[1]KPI!$G:$G,E20,[1]KPI!$A:$A,B20,[1]KPI!$B:$B,C20)</f>
        <v>0</v>
      </c>
      <c r="M20" s="7">
        <f>SUMIFS([1]KPI!$R:$R,[1]KPI!$G:$G,E20,[1]KPI!$A:$A,B20,[1]KPI!$B:$B,C20)</f>
        <v>0</v>
      </c>
      <c r="N20" s="7">
        <f>SUMIFS([1]KPI!$W:$W,[1]KPI!$G:$G,E20,[1]KPI!$A:$A,B20,[1]KPI!$B:$B,C20)</f>
        <v>0</v>
      </c>
    </row>
    <row r="21" spans="1:14">
      <c r="A21" s="5" t="s">
        <v>26</v>
      </c>
      <c r="B21" s="6">
        <v>2026</v>
      </c>
      <c r="C21" s="6">
        <v>4</v>
      </c>
      <c r="D21" s="6" t="s">
        <v>27</v>
      </c>
      <c r="E21" s="6" t="s">
        <v>46</v>
      </c>
      <c r="F21" s="6" t="s">
        <v>47</v>
      </c>
      <c r="G21" s="7">
        <f>SUMIFS([1]KPI!$M:$M,[1]KPI!$G:$G,E21,[1]KPI!$A:$A,B21,[1]KPI!$B:$B,C21)</f>
        <v>170070.63</v>
      </c>
      <c r="H21" s="7">
        <f>SUMIFS([1]KPI!$R:$R,[1]KPI!$G:$G,E21,[1]KPI!$A:$A,B21,[1]KPI!$B:$B,C21)</f>
        <v>78127.490000000005</v>
      </c>
      <c r="I21" s="7">
        <f>SUMIFS([1]KPI!$M:$M,[1]KPI!$G:$G,E21,[1]KPI!$A:$A,B21,[1]KPI!$B:$B,C21)</f>
        <v>170070.63</v>
      </c>
      <c r="J21" s="7">
        <f>SUMIFS([1]KPI!$R:$R,[1]KPI!$G:$G,E21,[1]KPI!$A:$A,B21,[1]KPI!$B:$B,C21)</f>
        <v>78127.490000000005</v>
      </c>
      <c r="K21" s="7">
        <f>SUMIFS([1]KPI!$W:$W,[1]KPI!$G:$G,E21,[1]KPI!$A:$A,B21,[1]KPI!$B:$B,C21)</f>
        <v>159322.91</v>
      </c>
      <c r="L21" s="7">
        <f>SUMIFS([1]KPI!$M:$M,[1]KPI!$G:$G,E21,[1]KPI!$A:$A,B21,[1]KPI!$B:$B,C21)</f>
        <v>170070.63</v>
      </c>
      <c r="M21" s="7">
        <f>SUMIFS([1]KPI!$R:$R,[1]KPI!$G:$G,E21,[1]KPI!$A:$A,B21,[1]KPI!$B:$B,C21)</f>
        <v>78127.490000000005</v>
      </c>
      <c r="N21" s="7">
        <f>SUMIFS([1]KPI!$W:$W,[1]KPI!$G:$G,E21,[1]KPI!$A:$A,B21,[1]KPI!$B:$B,C21)</f>
        <v>159322.91</v>
      </c>
    </row>
    <row r="22" spans="1:14">
      <c r="A22" s="5" t="s">
        <v>26</v>
      </c>
      <c r="B22" s="6">
        <v>2026</v>
      </c>
      <c r="C22" s="6">
        <v>5</v>
      </c>
      <c r="D22" s="6" t="s">
        <v>27</v>
      </c>
      <c r="E22" s="6" t="s">
        <v>46</v>
      </c>
      <c r="F22" s="6" t="s">
        <v>47</v>
      </c>
      <c r="G22" s="7">
        <f>SUMIFS([1]KPI!$M:$M,[1]KPI!$G:$G,E22,[1]KPI!$A:$A,B22,[1]KPI!$B:$B,C22)</f>
        <v>0</v>
      </c>
      <c r="H22" s="7">
        <f>SUMIFS([1]KPI!$R:$R,[1]KPI!$G:$G,E22,[1]KPI!$A:$A,B22,[1]KPI!$B:$B,C22)</f>
        <v>0</v>
      </c>
      <c r="I22" s="7">
        <f>SUMIFS([1]KPI!$M:$M,[1]KPI!$G:$G,E22,[1]KPI!$A:$A,B22,[1]KPI!$B:$B,C22)</f>
        <v>0</v>
      </c>
      <c r="J22" s="7">
        <f>SUMIFS([1]KPI!$R:$R,[1]KPI!$G:$G,E22,[1]KPI!$A:$A,B22,[1]KPI!$B:$B,C22)</f>
        <v>0</v>
      </c>
      <c r="K22" s="7">
        <f>SUMIFS([1]KPI!$W:$W,[1]KPI!$G:$G,E22,[1]KPI!$A:$A,B22,[1]KPI!$B:$B,C22)</f>
        <v>0</v>
      </c>
      <c r="L22" s="7">
        <f>SUMIFS([1]KPI!$M:$M,[1]KPI!$G:$G,E22,[1]KPI!$A:$A,B22,[1]KPI!$B:$B,C22)</f>
        <v>0</v>
      </c>
      <c r="M22" s="7">
        <f>SUMIFS([1]KPI!$R:$R,[1]KPI!$G:$G,E22,[1]KPI!$A:$A,B22,[1]KPI!$B:$B,C22)</f>
        <v>0</v>
      </c>
      <c r="N22" s="7">
        <f>SUMIFS([1]KPI!$W:$W,[1]KPI!$G:$G,E22,[1]KPI!$A:$A,B22,[1]KPI!$B:$B,C22)</f>
        <v>0</v>
      </c>
    </row>
    <row r="23" spans="1:14">
      <c r="A23" s="5" t="s">
        <v>48</v>
      </c>
      <c r="B23" s="6">
        <v>2026</v>
      </c>
      <c r="C23" s="6">
        <v>5</v>
      </c>
      <c r="D23" s="6" t="s">
        <v>15</v>
      </c>
      <c r="E23" s="6" t="s">
        <v>49</v>
      </c>
      <c r="F23" s="6" t="s">
        <v>50</v>
      </c>
      <c r="G23" s="7">
        <f>SUMIFS([1]KPI!$M:$M,[1]KPI!$G:$G,E23,[1]KPI!$A:$A,B23,[1]KPI!$B:$B,C23)</f>
        <v>0</v>
      </c>
      <c r="H23" s="7">
        <f>SUMIFS([1]KPI!$R:$R,[1]KPI!$G:$G,E23,[1]KPI!$A:$A,B23,[1]KPI!$B:$B,C23)</f>
        <v>0</v>
      </c>
      <c r="I23" s="7">
        <f>SUMIFS([1]KPI!$M:$M,[1]KPI!$G:$G,E23,[1]KPI!$A:$A,B23,[1]KPI!$B:$B,C23)</f>
        <v>0</v>
      </c>
      <c r="J23" s="7">
        <f>SUMIFS([1]KPI!$R:$R,[1]KPI!$G:$G,E23,[1]KPI!$A:$A,B23,[1]KPI!$B:$B,C23)</f>
        <v>0</v>
      </c>
      <c r="K23" s="7">
        <f>SUMIFS([1]KPI!$W:$W,[1]KPI!$G:$G,E23,[1]KPI!$A:$A,B23,[1]KPI!$B:$B,C23)</f>
        <v>0</v>
      </c>
      <c r="L23" s="7">
        <f>SUMIFS([1]KPI!$M:$M,[1]KPI!$G:$G,E23,[1]KPI!$A:$A,B23,[1]KPI!$B:$B,C23)</f>
        <v>0</v>
      </c>
      <c r="M23" s="7">
        <f>SUMIFS([1]KPI!$R:$R,[1]KPI!$G:$G,E23,[1]KPI!$A:$A,B23,[1]KPI!$B:$B,C23)</f>
        <v>0</v>
      </c>
      <c r="N23" s="7">
        <f>SUMIFS([1]KPI!$W:$W,[1]KPI!$G:$G,E23,[1]KPI!$A:$A,B23,[1]KPI!$B:$B,C23)</f>
        <v>0</v>
      </c>
    </row>
    <row r="24" spans="1:14">
      <c r="A24" s="5" t="s">
        <v>48</v>
      </c>
      <c r="B24" s="6">
        <v>2026</v>
      </c>
      <c r="C24" s="6">
        <v>5</v>
      </c>
      <c r="D24" s="6" t="s">
        <v>15</v>
      </c>
      <c r="E24" s="6" t="s">
        <v>51</v>
      </c>
      <c r="F24" s="6" t="s">
        <v>52</v>
      </c>
      <c r="G24" s="7">
        <f>SUMIFS([1]KPI!$M:$M,[1]KPI!$G:$G,E24,[1]KPI!$A:$A,B24,[1]KPI!$B:$B,C24)</f>
        <v>0</v>
      </c>
      <c r="H24" s="7">
        <f>SUMIFS([1]KPI!$R:$R,[1]KPI!$G:$G,E24,[1]KPI!$A:$A,B24,[1]KPI!$B:$B,C24)</f>
        <v>0</v>
      </c>
      <c r="I24" s="7">
        <f>SUMIFS([1]KPI!$M:$M,[1]KPI!$G:$G,E24,[1]KPI!$A:$A,B24,[1]KPI!$B:$B,C24)</f>
        <v>0</v>
      </c>
      <c r="J24" s="7">
        <f>SUMIFS([1]KPI!$R:$R,[1]KPI!$G:$G,E24,[1]KPI!$A:$A,B24,[1]KPI!$B:$B,C24)</f>
        <v>0</v>
      </c>
      <c r="K24" s="7">
        <f>SUMIFS([1]KPI!$W:$W,[1]KPI!$G:$G,E24,[1]KPI!$A:$A,B24,[1]KPI!$B:$B,C24)</f>
        <v>0</v>
      </c>
      <c r="L24" s="7">
        <f>SUMIFS([1]KPI!$M:$M,[1]KPI!$G:$G,E24,[1]KPI!$A:$A,B24,[1]KPI!$B:$B,C24)</f>
        <v>0</v>
      </c>
      <c r="M24" s="7">
        <f>SUMIFS([1]KPI!$R:$R,[1]KPI!$G:$G,E24,[1]KPI!$A:$A,B24,[1]KPI!$B:$B,C24)</f>
        <v>0</v>
      </c>
      <c r="N24" s="7">
        <f>SUMIFS([1]KPI!$W:$W,[1]KPI!$G:$G,E24,[1]KPI!$A:$A,B24,[1]KPI!$B:$B,C24)</f>
        <v>0</v>
      </c>
    </row>
    <row r="25" spans="1:14">
      <c r="A25" s="5" t="s">
        <v>48</v>
      </c>
      <c r="B25" s="6">
        <v>2026</v>
      </c>
      <c r="C25" s="6">
        <v>5</v>
      </c>
      <c r="D25" s="6" t="s">
        <v>15</v>
      </c>
      <c r="E25" s="6" t="s">
        <v>53</v>
      </c>
      <c r="F25" s="6" t="s">
        <v>54</v>
      </c>
      <c r="G25" s="7">
        <f>SUMIFS([1]KPI!$M:$M,[1]KPI!$G:$G,E25,[1]KPI!$A:$A,B25,[1]KPI!$B:$B,C25)</f>
        <v>0</v>
      </c>
      <c r="H25" s="7">
        <f>SUMIFS([1]KPI!$R:$R,[1]KPI!$G:$G,E25,[1]KPI!$A:$A,B25,[1]KPI!$B:$B,C25)</f>
        <v>566.21</v>
      </c>
      <c r="I25" s="7">
        <f>SUMIFS([1]KPI!$M:$M,[1]KPI!$G:$G,E25,[1]KPI!$A:$A,B25,[1]KPI!$B:$B,C25)</f>
        <v>0</v>
      </c>
      <c r="J25" s="7">
        <f>SUMIFS([1]KPI!$R:$R,[1]KPI!$G:$G,E25,[1]KPI!$A:$A,B25,[1]KPI!$B:$B,C25)</f>
        <v>566.21</v>
      </c>
      <c r="K25" s="7">
        <f>SUMIFS([1]KPI!$W:$W,[1]KPI!$G:$G,E25,[1]KPI!$A:$A,B25,[1]KPI!$B:$B,C25)</f>
        <v>6611.7</v>
      </c>
      <c r="L25" s="7">
        <v>5566</v>
      </c>
      <c r="M25" s="7">
        <f>SUMIFS([1]KPI!$R:$R,[1]KPI!$G:$G,E25,[1]KPI!$A:$A,B25,[1]KPI!$B:$B,C25)</f>
        <v>566.21</v>
      </c>
      <c r="N25" s="7">
        <v>6590.38</v>
      </c>
    </row>
    <row r="26" spans="1:14">
      <c r="A26" s="5" t="s">
        <v>48</v>
      </c>
      <c r="B26" s="6">
        <v>2026</v>
      </c>
      <c r="C26" s="6">
        <v>5</v>
      </c>
      <c r="D26" s="6" t="s">
        <v>55</v>
      </c>
      <c r="E26" s="6" t="s">
        <v>56</v>
      </c>
      <c r="F26" s="6" t="s">
        <v>57</v>
      </c>
      <c r="G26" s="7">
        <f>SUMIFS([1]KPI!$M:$M,[1]KPI!$G:$G,E26,[1]KPI!$A:$A,B26,[1]KPI!$B:$B,C26)</f>
        <v>0</v>
      </c>
      <c r="H26" s="7">
        <f>SUMIFS([1]KPI!$R:$R,[1]KPI!$G:$G,E26,[1]KPI!$A:$A,B26,[1]KPI!$B:$B,C26)</f>
        <v>0</v>
      </c>
      <c r="I26" s="7">
        <f>SUMIFS([1]KPI!$M:$M,[1]KPI!$G:$G,E26,[1]KPI!$A:$A,B26,[1]KPI!$B:$B,C26)</f>
        <v>0</v>
      </c>
      <c r="J26" s="7">
        <f>SUMIFS([1]KPI!$R:$R,[1]KPI!$G:$G,E26,[1]KPI!$A:$A,B26,[1]KPI!$B:$B,C26)</f>
        <v>0</v>
      </c>
      <c r="K26" s="7">
        <f>SUMIFS([1]KPI!$W:$W,[1]KPI!$G:$G,E26,[1]KPI!$A:$A,B26,[1]KPI!$B:$B,C26)</f>
        <v>0</v>
      </c>
      <c r="L26" s="7">
        <f>SUMIFS([1]KPI!$M:$M,[1]KPI!$G:$G,E26,[1]KPI!$A:$A,B26,[1]KPI!$B:$B,C26)</f>
        <v>0</v>
      </c>
      <c r="M26" s="7">
        <f>SUMIFS([1]KPI!$R:$R,[1]KPI!$G:$G,E26,[1]KPI!$A:$A,B26,[1]KPI!$B:$B,C26)</f>
        <v>0</v>
      </c>
      <c r="N26" s="7">
        <f>SUMIFS([1]KPI!$W:$W,[1]KPI!$G:$G,E26,[1]KPI!$A:$A,B26,[1]KPI!$B:$B,C26)</f>
        <v>0</v>
      </c>
    </row>
    <row r="27" spans="1:14">
      <c r="A27" s="5" t="s">
        <v>48</v>
      </c>
      <c r="B27" s="6">
        <v>2026</v>
      </c>
      <c r="C27" s="6">
        <v>5</v>
      </c>
      <c r="D27" s="6" t="s">
        <v>55</v>
      </c>
      <c r="E27" s="6" t="s">
        <v>58</v>
      </c>
      <c r="F27" s="6" t="s">
        <v>59</v>
      </c>
      <c r="G27" s="7">
        <f>SUMIFS([1]KPI!$M:$M,[1]KPI!$G:$G,E27,[1]KPI!$A:$A,B27,[1]KPI!$B:$B,C27)</f>
        <v>0</v>
      </c>
      <c r="H27" s="7">
        <f>SUMIFS([1]KPI!$R:$R,[1]KPI!$G:$G,E27,[1]KPI!$A:$A,B27,[1]KPI!$B:$B,C27)</f>
        <v>0</v>
      </c>
      <c r="I27" s="7">
        <f>SUMIFS([1]KPI!$M:$M,[1]KPI!$G:$G,E27,[1]KPI!$A:$A,B27,[1]KPI!$B:$B,C27)</f>
        <v>0</v>
      </c>
      <c r="J27" s="7">
        <f>SUMIFS([1]KPI!$R:$R,[1]KPI!$G:$G,E27,[1]KPI!$A:$A,B27,[1]KPI!$B:$B,C27)</f>
        <v>0</v>
      </c>
      <c r="K27" s="7">
        <f>SUMIFS([1]KPI!$W:$W,[1]KPI!$G:$G,E27,[1]KPI!$A:$A,B27,[1]KPI!$B:$B,C27)</f>
        <v>0</v>
      </c>
      <c r="L27" s="7">
        <f>SUMIFS([1]KPI!$M:$M,[1]KPI!$G:$G,E27,[1]KPI!$A:$A,B27,[1]KPI!$B:$B,C27)</f>
        <v>0</v>
      </c>
      <c r="M27" s="7">
        <f>SUMIFS([1]KPI!$R:$R,[1]KPI!$G:$G,E27,[1]KPI!$A:$A,B27,[1]KPI!$B:$B,C27)</f>
        <v>0</v>
      </c>
      <c r="N27" s="7">
        <f>SUMIFS([1]KPI!$W:$W,[1]KPI!$G:$G,E27,[1]KPI!$A:$A,B27,[1]KPI!$B:$B,C27)</f>
        <v>0</v>
      </c>
    </row>
    <row r="28" spans="1:14">
      <c r="A28" s="5" t="s">
        <v>48</v>
      </c>
      <c r="B28" s="6">
        <v>2026</v>
      </c>
      <c r="C28" s="6">
        <v>5</v>
      </c>
      <c r="D28" s="6" t="s">
        <v>55</v>
      </c>
      <c r="E28" s="6" t="s">
        <v>60</v>
      </c>
      <c r="F28" s="6" t="s">
        <v>61</v>
      </c>
      <c r="G28" s="7">
        <f>SUMIFS([1]KPI!$M:$M,[1]KPI!$G:$G,E28,[1]KPI!$A:$A,B28,[1]KPI!$B:$B,C28)</f>
        <v>0</v>
      </c>
      <c r="H28" s="7">
        <f>SUMIFS([1]KPI!$R:$R,[1]KPI!$G:$G,E28,[1]KPI!$A:$A,B28,[1]KPI!$B:$B,C28)</f>
        <v>6.59</v>
      </c>
      <c r="I28" s="7">
        <f>SUMIFS([1]KPI!$M:$M,[1]KPI!$G:$G,E28,[1]KPI!$A:$A,B28,[1]KPI!$B:$B,C28)</f>
        <v>0</v>
      </c>
      <c r="J28" s="7">
        <f>SUMIFS([1]KPI!$R:$R,[1]KPI!$G:$G,E28,[1]KPI!$A:$A,B28,[1]KPI!$B:$B,C28)</f>
        <v>6.59</v>
      </c>
      <c r="K28" s="7">
        <f>SUMIFS([1]KPI!$W:$W,[1]KPI!$G:$G,E28,[1]KPI!$A:$A,B28,[1]KPI!$B:$B,C28)</f>
        <v>264.14</v>
      </c>
      <c r="L28" s="7">
        <f>SUMIFS([1]KPI!$M:$M,[1]KPI!$G:$G,E28,[1]KPI!$A:$A,B28,[1]KPI!$B:$B,C28)</f>
        <v>0</v>
      </c>
      <c r="M28" s="7">
        <f>SUMIFS([1]KPI!$R:$R,[1]KPI!$G:$G,E28,[1]KPI!$A:$A,B28,[1]KPI!$B:$B,C28)</f>
        <v>6.59</v>
      </c>
      <c r="N28" s="7">
        <f>SUMIFS([1]KPI!$W:$W,[1]KPI!$G:$G,E28,[1]KPI!$A:$A,B28,[1]KPI!$B:$B,C28)</f>
        <v>264.14</v>
      </c>
    </row>
    <row r="29" spans="1:14">
      <c r="A29" s="8" t="s">
        <v>48</v>
      </c>
      <c r="B29" s="9">
        <v>2026</v>
      </c>
      <c r="C29" s="9">
        <v>4</v>
      </c>
      <c r="D29" s="9" t="s">
        <v>15</v>
      </c>
      <c r="E29" s="9" t="s">
        <v>62</v>
      </c>
      <c r="F29" s="9" t="s">
        <v>63</v>
      </c>
      <c r="G29" s="10">
        <f>SUMIFS([1]KPI!$M:$M,[1]KPI!$G:$G,E29,[1]KPI!$A:$A,B29,[1]KPI!$B:$B,C29)</f>
        <v>0</v>
      </c>
      <c r="H29" s="10">
        <f>SUMIFS([1]KPI!$R:$R,[1]KPI!$G:$G,E29,[1]KPI!$A:$A,B29,[1]KPI!$B:$B,C29)</f>
        <v>1231.9000000000001</v>
      </c>
      <c r="I29" s="10">
        <f>SUMIFS([1]KPI!$M:$M,[1]KPI!$G:$G,E29,[1]KPI!$A:$A,B29,[1]KPI!$B:$B,C29)</f>
        <v>0</v>
      </c>
      <c r="J29" s="10">
        <f>SUMIFS([1]KPI!$R:$R,[1]KPI!$G:$G,E29,[1]KPI!$A:$A,B29,[1]KPI!$B:$B,C29)</f>
        <v>1231.9000000000001</v>
      </c>
      <c r="K29" s="10">
        <f>SUMIFS([1]KPI!$W:$W,[1]KPI!$G:$G,E29,[1]KPI!$A:$A,B29,[1]KPI!$B:$B,C29)</f>
        <v>0</v>
      </c>
      <c r="L29" s="10">
        <f>SUMIFS([1]KPI!$M:$M,[1]KPI!$G:$G,E29,[1]KPI!$A:$A,B29,[1]KPI!$B:$B,C29)</f>
        <v>0</v>
      </c>
      <c r="M29" s="10">
        <f>SUMIFS([1]KPI!$R:$R,[1]KPI!$G:$G,E29,[1]KPI!$A:$A,B29,[1]KPI!$B:$B,C29)</f>
        <v>1231.9000000000001</v>
      </c>
      <c r="N29" s="10">
        <f>SUMIFS([1]KPI!$W:$W,[1]KPI!$G:$G,E29,[1]KPI!$A:$A,B29,[1]KPI!$B:$B,C29)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 Recon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2026-08-13T10:17:58Z</dcterms:created>
  <dcterms:modified xsi:type="dcterms:W3CDTF">2026-08-13T10:28:59Z</dcterms:modified>
</cp:coreProperties>
</file>